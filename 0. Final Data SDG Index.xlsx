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pablo/Desktop/CEU/tfg_ade/"/>
    </mc:Choice>
  </mc:AlternateContent>
  <xr:revisionPtr revIDLastSave="0" documentId="13_ncr:1_{8CC3F92C-EAAD-0F4E-84C2-28FE2ACFDCFE}" xr6:coauthVersionLast="47" xr6:coauthVersionMax="47" xr10:uidLastSave="{00000000-0000-0000-0000-000000000000}"/>
  <bookViews>
    <workbookView xWindow="0" yWindow="500" windowWidth="28800" windowHeight="17500" activeTab="4" xr2:uid="{00000000-000D-0000-FFFF-FFFF00000000}"/>
  </bookViews>
  <sheets>
    <sheet name="Datos_panel_limpios" sheetId="1" r:id="rId1"/>
    <sheet name="Pais_agregado_media" sheetId="2" r:id="rId2"/>
    <sheet name="Transformaciones" sheetId="3" r:id="rId3"/>
    <sheet name="Modelo_final_tipificado" sheetId="4" r:id="rId4"/>
    <sheet name="Analisis_descriptivo" sheetId="6" r:id="rId5"/>
    <sheet name="Info_Datos" sheetId="5" r:id="rId6"/>
  </sheets>
  <definedNames>
    <definedName name="_xlchart.v1.0" hidden="1">Analisis_descriptivo!$F$98</definedName>
    <definedName name="_xlchart.v1.1" hidden="1">Analisis_descriptivo!$F$99:$F$174</definedName>
    <definedName name="_xlchart.v1.10" hidden="1">Analisis_descriptivo!$K$98</definedName>
    <definedName name="_xlchart.v1.11" hidden="1">Analisis_descriptivo!$K$99:$K$174</definedName>
    <definedName name="_xlchart.v1.12" hidden="1">Analisis_descriptivo!$A$98</definedName>
    <definedName name="_xlchart.v1.13" hidden="1">Analisis_descriptivo!$A$99:$A$174</definedName>
    <definedName name="_xlchart.v1.14" hidden="1">Analisis_descriptivo!$B$98</definedName>
    <definedName name="_xlchart.v1.15" hidden="1">Analisis_descriptivo!$B$99:$B$174</definedName>
    <definedName name="_xlchart.v1.16" hidden="1">Analisis_descriptivo!$C$98</definedName>
    <definedName name="_xlchart.v1.17" hidden="1">Analisis_descriptivo!$C$99:$C$174</definedName>
    <definedName name="_xlchart.v1.18" hidden="1">Analisis_descriptivo!$D$98</definedName>
    <definedName name="_xlchart.v1.19" hidden="1">Analisis_descriptivo!$D$99:$D$174</definedName>
    <definedName name="_xlchart.v1.2" hidden="1">Analisis_descriptivo!$G$98</definedName>
    <definedName name="_xlchart.v1.20" hidden="1">Analisis_descriptivo!$F$98</definedName>
    <definedName name="_xlchart.v1.21" hidden="1">Analisis_descriptivo!$F$99:$F$174</definedName>
    <definedName name="_xlchart.v1.22" hidden="1">Analisis_descriptivo!$G$98</definedName>
    <definedName name="_xlchart.v1.23" hidden="1">Analisis_descriptivo!$G$99:$G$174</definedName>
    <definedName name="_xlchart.v1.24" hidden="1">Analisis_descriptivo!$H$98</definedName>
    <definedName name="_xlchart.v1.25" hidden="1">Analisis_descriptivo!$H$99:$H$174</definedName>
    <definedName name="_xlchart.v1.26" hidden="1">Analisis_descriptivo!$I$98</definedName>
    <definedName name="_xlchart.v1.27" hidden="1">Analisis_descriptivo!$I$99:$I$174</definedName>
    <definedName name="_xlchart.v1.28" hidden="1">Analisis_descriptivo!$J$98</definedName>
    <definedName name="_xlchart.v1.29" hidden="1">Analisis_descriptivo!$J$99:$J$174</definedName>
    <definedName name="_xlchart.v1.3" hidden="1">Analisis_descriptivo!$G$99:$G$174</definedName>
    <definedName name="_xlchart.v1.30" hidden="1">Analisis_descriptivo!$K$98</definedName>
    <definedName name="_xlchart.v1.31" hidden="1">Analisis_descriptivo!$K$99:$K$174</definedName>
    <definedName name="_xlchart.v1.32" hidden="1">Analisis_descriptivo!$F$98</definedName>
    <definedName name="_xlchart.v1.33" hidden="1">Analisis_descriptivo!$F$99:$F$174</definedName>
    <definedName name="_xlchart.v1.34" hidden="1">Analisis_descriptivo!$G$98</definedName>
    <definedName name="_xlchart.v1.35" hidden="1">Analisis_descriptivo!$G$99:$G$174</definedName>
    <definedName name="_xlchart.v1.36" hidden="1">Analisis_descriptivo!$H$98</definedName>
    <definedName name="_xlchart.v1.37" hidden="1">Analisis_descriptivo!$H$99:$H$174</definedName>
    <definedName name="_xlchart.v1.38" hidden="1">Analisis_descriptivo!$I$98</definedName>
    <definedName name="_xlchart.v1.39" hidden="1">Analisis_descriptivo!$I$99:$I$174</definedName>
    <definedName name="_xlchart.v1.4" hidden="1">Analisis_descriptivo!$H$98</definedName>
    <definedName name="_xlchart.v1.40" hidden="1">Analisis_descriptivo!$J$98</definedName>
    <definedName name="_xlchart.v1.41" hidden="1">Analisis_descriptivo!$J$99:$J$174</definedName>
    <definedName name="_xlchart.v1.42" hidden="1">Analisis_descriptivo!$K$98</definedName>
    <definedName name="_xlchart.v1.43" hidden="1">Analisis_descriptivo!$K$99:$K$174</definedName>
    <definedName name="_xlchart.v1.5" hidden="1">Analisis_descriptivo!$H$99:$H$174</definedName>
    <definedName name="_xlchart.v1.6" hidden="1">Analisis_descriptivo!$I$98</definedName>
    <definedName name="_xlchart.v1.7" hidden="1">Analisis_descriptivo!$I$99:$I$174</definedName>
    <definedName name="_xlchart.v1.8" hidden="1">Analisis_descriptivo!$J$98</definedName>
    <definedName name="_xlchart.v1.9" hidden="1">Analisis_descriptivo!$J$99:$J$174</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99" i="6" l="1"/>
  <c r="G99" i="6"/>
  <c r="H99" i="6"/>
  <c r="I99" i="6"/>
  <c r="J99" i="6"/>
  <c r="K99" i="6"/>
  <c r="F100" i="6"/>
  <c r="G100" i="6"/>
  <c r="H100" i="6"/>
  <c r="I100" i="6"/>
  <c r="J100" i="6"/>
  <c r="K100" i="6"/>
  <c r="F101" i="6"/>
  <c r="G101" i="6"/>
  <c r="H101" i="6"/>
  <c r="I101" i="6"/>
  <c r="J101" i="6"/>
  <c r="K101" i="6"/>
  <c r="F102" i="6"/>
  <c r="G102" i="6"/>
  <c r="H102" i="6"/>
  <c r="I102" i="6"/>
  <c r="J102" i="6"/>
  <c r="K102" i="6"/>
  <c r="F103" i="6"/>
  <c r="G103" i="6"/>
  <c r="H103" i="6"/>
  <c r="I103" i="6"/>
  <c r="J103" i="6"/>
  <c r="K103" i="6"/>
  <c r="F104" i="6"/>
  <c r="G104" i="6"/>
  <c r="H104" i="6"/>
  <c r="I104" i="6"/>
  <c r="J104" i="6"/>
  <c r="K104" i="6"/>
  <c r="F105" i="6"/>
  <c r="G105" i="6"/>
  <c r="H105" i="6"/>
  <c r="I105" i="6"/>
  <c r="J105" i="6"/>
  <c r="K105" i="6"/>
  <c r="F106" i="6"/>
  <c r="G106" i="6"/>
  <c r="H106" i="6"/>
  <c r="I106" i="6"/>
  <c r="J106" i="6"/>
  <c r="K106" i="6"/>
  <c r="F107" i="6"/>
  <c r="G107" i="6"/>
  <c r="H107" i="6"/>
  <c r="I107" i="6"/>
  <c r="J107" i="6"/>
  <c r="K107" i="6"/>
  <c r="F108" i="6"/>
  <c r="G108" i="6"/>
  <c r="H108" i="6"/>
  <c r="I108" i="6"/>
  <c r="J108" i="6"/>
  <c r="K108" i="6"/>
  <c r="F109" i="6"/>
  <c r="G109" i="6"/>
  <c r="H109" i="6"/>
  <c r="I109" i="6"/>
  <c r="J109" i="6"/>
  <c r="K109" i="6"/>
  <c r="F110" i="6"/>
  <c r="G110" i="6"/>
  <c r="H110" i="6"/>
  <c r="I110" i="6"/>
  <c r="J110" i="6"/>
  <c r="K110" i="6"/>
  <c r="F111" i="6"/>
  <c r="G111" i="6"/>
  <c r="H111" i="6"/>
  <c r="I111" i="6"/>
  <c r="J111" i="6"/>
  <c r="K111" i="6"/>
  <c r="F112" i="6"/>
  <c r="G112" i="6"/>
  <c r="H112" i="6"/>
  <c r="I112" i="6"/>
  <c r="J112" i="6"/>
  <c r="K112" i="6"/>
  <c r="F113" i="6"/>
  <c r="G113" i="6"/>
  <c r="H113" i="6"/>
  <c r="I113" i="6"/>
  <c r="J113" i="6"/>
  <c r="K113" i="6"/>
  <c r="F114" i="6"/>
  <c r="G114" i="6"/>
  <c r="H114" i="6"/>
  <c r="I114" i="6"/>
  <c r="J114" i="6"/>
  <c r="K114" i="6"/>
  <c r="F115" i="6"/>
  <c r="G115" i="6"/>
  <c r="H115" i="6"/>
  <c r="I115" i="6"/>
  <c r="J115" i="6"/>
  <c r="K115" i="6"/>
  <c r="F116" i="6"/>
  <c r="G116" i="6"/>
  <c r="H116" i="6"/>
  <c r="I116" i="6"/>
  <c r="J116" i="6"/>
  <c r="K116" i="6"/>
  <c r="F117" i="6"/>
  <c r="G117" i="6"/>
  <c r="H117" i="6"/>
  <c r="I117" i="6"/>
  <c r="J117" i="6"/>
  <c r="K117" i="6"/>
  <c r="F118" i="6"/>
  <c r="G118" i="6"/>
  <c r="H118" i="6"/>
  <c r="I118" i="6"/>
  <c r="J118" i="6"/>
  <c r="K118" i="6"/>
  <c r="F119" i="6"/>
  <c r="G119" i="6"/>
  <c r="H119" i="6"/>
  <c r="I119" i="6"/>
  <c r="J119" i="6"/>
  <c r="K119" i="6"/>
  <c r="F120" i="6"/>
  <c r="G120" i="6"/>
  <c r="H120" i="6"/>
  <c r="I120" i="6"/>
  <c r="J120" i="6"/>
  <c r="K120" i="6"/>
  <c r="F121" i="6"/>
  <c r="G121" i="6"/>
  <c r="H121" i="6"/>
  <c r="I121" i="6"/>
  <c r="J121" i="6"/>
  <c r="K121" i="6"/>
  <c r="F122" i="6"/>
  <c r="G122" i="6"/>
  <c r="H122" i="6"/>
  <c r="I122" i="6"/>
  <c r="J122" i="6"/>
  <c r="K122" i="6"/>
  <c r="F123" i="6"/>
  <c r="G123" i="6"/>
  <c r="H123" i="6"/>
  <c r="I123" i="6"/>
  <c r="J123" i="6"/>
  <c r="K123" i="6"/>
  <c r="F124" i="6"/>
  <c r="G124" i="6"/>
  <c r="H124" i="6"/>
  <c r="I124" i="6"/>
  <c r="J124" i="6"/>
  <c r="K124" i="6"/>
  <c r="F125" i="6"/>
  <c r="G125" i="6"/>
  <c r="H125" i="6"/>
  <c r="I125" i="6"/>
  <c r="J125" i="6"/>
  <c r="K125" i="6"/>
  <c r="F126" i="6"/>
  <c r="G126" i="6"/>
  <c r="H126" i="6"/>
  <c r="I126" i="6"/>
  <c r="J126" i="6"/>
  <c r="K126" i="6"/>
  <c r="F127" i="6"/>
  <c r="G127" i="6"/>
  <c r="H127" i="6"/>
  <c r="I127" i="6"/>
  <c r="J127" i="6"/>
  <c r="K127" i="6"/>
  <c r="F128" i="6"/>
  <c r="G128" i="6"/>
  <c r="H128" i="6"/>
  <c r="I128" i="6"/>
  <c r="J128" i="6"/>
  <c r="K128" i="6"/>
  <c r="F129" i="6"/>
  <c r="G129" i="6"/>
  <c r="H129" i="6"/>
  <c r="I129" i="6"/>
  <c r="J129" i="6"/>
  <c r="K129" i="6"/>
  <c r="F130" i="6"/>
  <c r="G130" i="6"/>
  <c r="H130" i="6"/>
  <c r="I130" i="6"/>
  <c r="J130" i="6"/>
  <c r="K130" i="6"/>
  <c r="F131" i="6"/>
  <c r="G131" i="6"/>
  <c r="H131" i="6"/>
  <c r="I131" i="6"/>
  <c r="J131" i="6"/>
  <c r="K131" i="6"/>
  <c r="F132" i="6"/>
  <c r="G132" i="6"/>
  <c r="H132" i="6"/>
  <c r="I132" i="6"/>
  <c r="J132" i="6"/>
  <c r="K132" i="6"/>
  <c r="F133" i="6"/>
  <c r="G133" i="6"/>
  <c r="H133" i="6"/>
  <c r="I133" i="6"/>
  <c r="J133" i="6"/>
  <c r="K133" i="6"/>
  <c r="F134" i="6"/>
  <c r="G134" i="6"/>
  <c r="H134" i="6"/>
  <c r="I134" i="6"/>
  <c r="J134" i="6"/>
  <c r="K134" i="6"/>
  <c r="F135" i="6"/>
  <c r="G135" i="6"/>
  <c r="H135" i="6"/>
  <c r="I135" i="6"/>
  <c r="J135" i="6"/>
  <c r="K135" i="6"/>
  <c r="F136" i="6"/>
  <c r="G136" i="6"/>
  <c r="H136" i="6"/>
  <c r="I136" i="6"/>
  <c r="J136" i="6"/>
  <c r="K136" i="6"/>
  <c r="F137" i="6"/>
  <c r="G137" i="6"/>
  <c r="H137" i="6"/>
  <c r="I137" i="6"/>
  <c r="J137" i="6"/>
  <c r="K137" i="6"/>
  <c r="F138" i="6"/>
  <c r="G138" i="6"/>
  <c r="H138" i="6"/>
  <c r="I138" i="6"/>
  <c r="J138" i="6"/>
  <c r="K138" i="6"/>
  <c r="F139" i="6"/>
  <c r="G139" i="6"/>
  <c r="H139" i="6"/>
  <c r="I139" i="6"/>
  <c r="J139" i="6"/>
  <c r="K139" i="6"/>
  <c r="F140" i="6"/>
  <c r="G140" i="6"/>
  <c r="H140" i="6"/>
  <c r="I140" i="6"/>
  <c r="J140" i="6"/>
  <c r="K140" i="6"/>
  <c r="F141" i="6"/>
  <c r="G141" i="6"/>
  <c r="H141" i="6"/>
  <c r="I141" i="6"/>
  <c r="J141" i="6"/>
  <c r="K141" i="6"/>
  <c r="F142" i="6"/>
  <c r="G142" i="6"/>
  <c r="H142" i="6"/>
  <c r="I142" i="6"/>
  <c r="J142" i="6"/>
  <c r="K142" i="6"/>
  <c r="F143" i="6"/>
  <c r="G143" i="6"/>
  <c r="H143" i="6"/>
  <c r="I143" i="6"/>
  <c r="J143" i="6"/>
  <c r="K143" i="6"/>
  <c r="F144" i="6"/>
  <c r="G144" i="6"/>
  <c r="H144" i="6"/>
  <c r="I144" i="6"/>
  <c r="J144" i="6"/>
  <c r="K144" i="6"/>
  <c r="F145" i="6"/>
  <c r="G145" i="6"/>
  <c r="H145" i="6"/>
  <c r="I145" i="6"/>
  <c r="J145" i="6"/>
  <c r="K145" i="6"/>
  <c r="F146" i="6"/>
  <c r="G146" i="6"/>
  <c r="H146" i="6"/>
  <c r="I146" i="6"/>
  <c r="J146" i="6"/>
  <c r="K146" i="6"/>
  <c r="F147" i="6"/>
  <c r="G147" i="6"/>
  <c r="H147" i="6"/>
  <c r="I147" i="6"/>
  <c r="J147" i="6"/>
  <c r="K147" i="6"/>
  <c r="F148" i="6"/>
  <c r="G148" i="6"/>
  <c r="H148" i="6"/>
  <c r="I148" i="6"/>
  <c r="J148" i="6"/>
  <c r="K148" i="6"/>
  <c r="F149" i="6"/>
  <c r="G149" i="6"/>
  <c r="H149" i="6"/>
  <c r="I149" i="6"/>
  <c r="J149" i="6"/>
  <c r="K149" i="6"/>
  <c r="F150" i="6"/>
  <c r="G150" i="6"/>
  <c r="H150" i="6"/>
  <c r="I150" i="6"/>
  <c r="J150" i="6"/>
  <c r="K150" i="6"/>
  <c r="F151" i="6"/>
  <c r="G151" i="6"/>
  <c r="H151" i="6"/>
  <c r="I151" i="6"/>
  <c r="J151" i="6"/>
  <c r="K151" i="6"/>
  <c r="F152" i="6"/>
  <c r="G152" i="6"/>
  <c r="H152" i="6"/>
  <c r="I152" i="6"/>
  <c r="J152" i="6"/>
  <c r="K152" i="6"/>
  <c r="F153" i="6"/>
  <c r="G153" i="6"/>
  <c r="H153" i="6"/>
  <c r="I153" i="6"/>
  <c r="J153" i="6"/>
  <c r="K153" i="6"/>
  <c r="F154" i="6"/>
  <c r="G154" i="6"/>
  <c r="H154" i="6"/>
  <c r="I154" i="6"/>
  <c r="J154" i="6"/>
  <c r="K154" i="6"/>
  <c r="F155" i="6"/>
  <c r="G155" i="6"/>
  <c r="H155" i="6"/>
  <c r="I155" i="6"/>
  <c r="J155" i="6"/>
  <c r="K155" i="6"/>
  <c r="F156" i="6"/>
  <c r="G156" i="6"/>
  <c r="H156" i="6"/>
  <c r="I156" i="6"/>
  <c r="J156" i="6"/>
  <c r="K156" i="6"/>
  <c r="F157" i="6"/>
  <c r="G157" i="6"/>
  <c r="H157" i="6"/>
  <c r="I157" i="6"/>
  <c r="J157" i="6"/>
  <c r="K157" i="6"/>
  <c r="F158" i="6"/>
  <c r="G158" i="6"/>
  <c r="H158" i="6"/>
  <c r="I158" i="6"/>
  <c r="J158" i="6"/>
  <c r="K158" i="6"/>
  <c r="F159" i="6"/>
  <c r="G159" i="6"/>
  <c r="H159" i="6"/>
  <c r="I159" i="6"/>
  <c r="J159" i="6"/>
  <c r="K159" i="6"/>
  <c r="F160" i="6"/>
  <c r="G160" i="6"/>
  <c r="H160" i="6"/>
  <c r="I160" i="6"/>
  <c r="J160" i="6"/>
  <c r="K160" i="6"/>
  <c r="F161" i="6"/>
  <c r="G161" i="6"/>
  <c r="H161" i="6"/>
  <c r="I161" i="6"/>
  <c r="J161" i="6"/>
  <c r="K161" i="6"/>
  <c r="F162" i="6"/>
  <c r="G162" i="6"/>
  <c r="H162" i="6"/>
  <c r="I162" i="6"/>
  <c r="J162" i="6"/>
  <c r="K162" i="6"/>
  <c r="F163" i="6"/>
  <c r="G163" i="6"/>
  <c r="H163" i="6"/>
  <c r="I163" i="6"/>
  <c r="J163" i="6"/>
  <c r="K163" i="6"/>
  <c r="F164" i="6"/>
  <c r="G164" i="6"/>
  <c r="H164" i="6"/>
  <c r="I164" i="6"/>
  <c r="J164" i="6"/>
  <c r="K164" i="6"/>
  <c r="F165" i="6"/>
  <c r="G165" i="6"/>
  <c r="H165" i="6"/>
  <c r="I165" i="6"/>
  <c r="J165" i="6"/>
  <c r="K165" i="6"/>
  <c r="F166" i="6"/>
  <c r="G166" i="6"/>
  <c r="H166" i="6"/>
  <c r="I166" i="6"/>
  <c r="J166" i="6"/>
  <c r="K166" i="6"/>
  <c r="F167" i="6"/>
  <c r="G167" i="6"/>
  <c r="H167" i="6"/>
  <c r="I167" i="6"/>
  <c r="J167" i="6"/>
  <c r="K167" i="6"/>
  <c r="F168" i="6"/>
  <c r="G168" i="6"/>
  <c r="H168" i="6"/>
  <c r="I168" i="6"/>
  <c r="J168" i="6"/>
  <c r="K168" i="6"/>
  <c r="F169" i="6"/>
  <c r="G169" i="6"/>
  <c r="H169" i="6"/>
  <c r="I169" i="6"/>
  <c r="J169" i="6"/>
  <c r="K169" i="6"/>
  <c r="F170" i="6"/>
  <c r="G170" i="6"/>
  <c r="H170" i="6"/>
  <c r="I170" i="6"/>
  <c r="J170" i="6"/>
  <c r="K170" i="6"/>
  <c r="F171" i="6"/>
  <c r="G171" i="6"/>
  <c r="H171" i="6"/>
  <c r="I171" i="6"/>
  <c r="J171" i="6"/>
  <c r="K171" i="6"/>
  <c r="F172" i="6"/>
  <c r="G172" i="6"/>
  <c r="H172" i="6"/>
  <c r="I172" i="6"/>
  <c r="J172" i="6"/>
  <c r="K172" i="6"/>
  <c r="F173" i="6"/>
  <c r="G173" i="6"/>
  <c r="H173" i="6"/>
  <c r="I173" i="6"/>
  <c r="J173" i="6"/>
  <c r="K173" i="6"/>
  <c r="F174" i="6"/>
  <c r="G174" i="6"/>
  <c r="H174" i="6"/>
  <c r="I174" i="6"/>
  <c r="J174" i="6"/>
  <c r="K174" i="6"/>
  <c r="A99" i="6"/>
  <c r="B99" i="6"/>
  <c r="C99" i="6"/>
  <c r="D99" i="6"/>
  <c r="A100" i="6"/>
  <c r="B100" i="6"/>
  <c r="C100" i="6"/>
  <c r="D100" i="6"/>
  <c r="A101" i="6"/>
  <c r="B101" i="6"/>
  <c r="C101" i="6"/>
  <c r="D101" i="6"/>
  <c r="A102" i="6"/>
  <c r="B102" i="6"/>
  <c r="C102" i="6"/>
  <c r="D102" i="6"/>
  <c r="A103" i="6"/>
  <c r="B103" i="6"/>
  <c r="C103" i="6"/>
  <c r="D103" i="6"/>
  <c r="A104" i="6"/>
  <c r="B104" i="6"/>
  <c r="C104" i="6"/>
  <c r="D104" i="6"/>
  <c r="A105" i="6"/>
  <c r="B105" i="6"/>
  <c r="C105" i="6"/>
  <c r="D105" i="6"/>
  <c r="A106" i="6"/>
  <c r="B106" i="6"/>
  <c r="C106" i="6"/>
  <c r="D106" i="6"/>
  <c r="A107" i="6"/>
  <c r="B107" i="6"/>
  <c r="C107" i="6"/>
  <c r="D107" i="6"/>
  <c r="A108" i="6"/>
  <c r="B108" i="6"/>
  <c r="C108" i="6"/>
  <c r="D108" i="6"/>
  <c r="A109" i="6"/>
  <c r="B109" i="6"/>
  <c r="C109" i="6"/>
  <c r="D109" i="6"/>
  <c r="A110" i="6"/>
  <c r="B110" i="6"/>
  <c r="C110" i="6"/>
  <c r="D110" i="6"/>
  <c r="A111" i="6"/>
  <c r="B111" i="6"/>
  <c r="C111" i="6"/>
  <c r="D111" i="6"/>
  <c r="A112" i="6"/>
  <c r="B112" i="6"/>
  <c r="C112" i="6"/>
  <c r="D112" i="6"/>
  <c r="A113" i="6"/>
  <c r="B113" i="6"/>
  <c r="C113" i="6"/>
  <c r="D113" i="6"/>
  <c r="A114" i="6"/>
  <c r="B114" i="6"/>
  <c r="C114" i="6"/>
  <c r="D114" i="6"/>
  <c r="A115" i="6"/>
  <c r="B115" i="6"/>
  <c r="C115" i="6"/>
  <c r="D115" i="6"/>
  <c r="A116" i="6"/>
  <c r="B116" i="6"/>
  <c r="C116" i="6"/>
  <c r="D116" i="6"/>
  <c r="A117" i="6"/>
  <c r="B117" i="6"/>
  <c r="C117" i="6"/>
  <c r="D117" i="6"/>
  <c r="A118" i="6"/>
  <c r="B118" i="6"/>
  <c r="C118" i="6"/>
  <c r="D118" i="6"/>
  <c r="A119" i="6"/>
  <c r="B119" i="6"/>
  <c r="C119" i="6"/>
  <c r="D119" i="6"/>
  <c r="A120" i="6"/>
  <c r="B120" i="6"/>
  <c r="C120" i="6"/>
  <c r="D120" i="6"/>
  <c r="A121" i="6"/>
  <c r="B121" i="6"/>
  <c r="C121" i="6"/>
  <c r="D121" i="6"/>
  <c r="A122" i="6"/>
  <c r="B122" i="6"/>
  <c r="C122" i="6"/>
  <c r="D122" i="6"/>
  <c r="A123" i="6"/>
  <c r="B123" i="6"/>
  <c r="C123" i="6"/>
  <c r="D123" i="6"/>
  <c r="A124" i="6"/>
  <c r="B124" i="6"/>
  <c r="C124" i="6"/>
  <c r="D124" i="6"/>
  <c r="A125" i="6"/>
  <c r="B125" i="6"/>
  <c r="C125" i="6"/>
  <c r="D125" i="6"/>
  <c r="A126" i="6"/>
  <c r="B126" i="6"/>
  <c r="C126" i="6"/>
  <c r="D126" i="6"/>
  <c r="A127" i="6"/>
  <c r="B127" i="6"/>
  <c r="C127" i="6"/>
  <c r="D127" i="6"/>
  <c r="A128" i="6"/>
  <c r="B128" i="6"/>
  <c r="C128" i="6"/>
  <c r="D128" i="6"/>
  <c r="A129" i="6"/>
  <c r="B129" i="6"/>
  <c r="C129" i="6"/>
  <c r="D129" i="6"/>
  <c r="A130" i="6"/>
  <c r="B130" i="6"/>
  <c r="C130" i="6"/>
  <c r="D130" i="6"/>
  <c r="A131" i="6"/>
  <c r="B131" i="6"/>
  <c r="C131" i="6"/>
  <c r="D131" i="6"/>
  <c r="A132" i="6"/>
  <c r="B132" i="6"/>
  <c r="C132" i="6"/>
  <c r="D132" i="6"/>
  <c r="A133" i="6"/>
  <c r="B133" i="6"/>
  <c r="C133" i="6"/>
  <c r="D133" i="6"/>
  <c r="A134" i="6"/>
  <c r="B134" i="6"/>
  <c r="C134" i="6"/>
  <c r="D134" i="6"/>
  <c r="A135" i="6"/>
  <c r="B135" i="6"/>
  <c r="C135" i="6"/>
  <c r="D135" i="6"/>
  <c r="A136" i="6"/>
  <c r="B136" i="6"/>
  <c r="C136" i="6"/>
  <c r="D136" i="6"/>
  <c r="A137" i="6"/>
  <c r="B137" i="6"/>
  <c r="C137" i="6"/>
  <c r="D137" i="6"/>
  <c r="A138" i="6"/>
  <c r="B138" i="6"/>
  <c r="C138" i="6"/>
  <c r="D138" i="6"/>
  <c r="A139" i="6"/>
  <c r="B139" i="6"/>
  <c r="C139" i="6"/>
  <c r="D139" i="6"/>
  <c r="A140" i="6"/>
  <c r="B140" i="6"/>
  <c r="C140" i="6"/>
  <c r="D140" i="6"/>
  <c r="A141" i="6"/>
  <c r="B141" i="6"/>
  <c r="C141" i="6"/>
  <c r="D141" i="6"/>
  <c r="A142" i="6"/>
  <c r="B142" i="6"/>
  <c r="C142" i="6"/>
  <c r="D142" i="6"/>
  <c r="A143" i="6"/>
  <c r="B143" i="6"/>
  <c r="C143" i="6"/>
  <c r="D143" i="6"/>
  <c r="A144" i="6"/>
  <c r="B144" i="6"/>
  <c r="C144" i="6"/>
  <c r="D144" i="6"/>
  <c r="A145" i="6"/>
  <c r="B145" i="6"/>
  <c r="C145" i="6"/>
  <c r="D145" i="6"/>
  <c r="A146" i="6"/>
  <c r="B146" i="6"/>
  <c r="C146" i="6"/>
  <c r="D146" i="6"/>
  <c r="A147" i="6"/>
  <c r="B147" i="6"/>
  <c r="C147" i="6"/>
  <c r="D147" i="6"/>
  <c r="A148" i="6"/>
  <c r="B148" i="6"/>
  <c r="C148" i="6"/>
  <c r="D148" i="6"/>
  <c r="A149" i="6"/>
  <c r="B149" i="6"/>
  <c r="C149" i="6"/>
  <c r="D149" i="6"/>
  <c r="A150" i="6"/>
  <c r="B150" i="6"/>
  <c r="C150" i="6"/>
  <c r="D150" i="6"/>
  <c r="A151" i="6"/>
  <c r="B151" i="6"/>
  <c r="C151" i="6"/>
  <c r="D151" i="6"/>
  <c r="A152" i="6"/>
  <c r="B152" i="6"/>
  <c r="C152" i="6"/>
  <c r="D152" i="6"/>
  <c r="A153" i="6"/>
  <c r="B153" i="6"/>
  <c r="C153" i="6"/>
  <c r="D153" i="6"/>
  <c r="A154" i="6"/>
  <c r="B154" i="6"/>
  <c r="C154" i="6"/>
  <c r="D154" i="6"/>
  <c r="A155" i="6"/>
  <c r="B155" i="6"/>
  <c r="C155" i="6"/>
  <c r="D155" i="6"/>
  <c r="A156" i="6"/>
  <c r="B156" i="6"/>
  <c r="C156" i="6"/>
  <c r="D156" i="6"/>
  <c r="A157" i="6"/>
  <c r="B157" i="6"/>
  <c r="C157" i="6"/>
  <c r="D157" i="6"/>
  <c r="A158" i="6"/>
  <c r="B158" i="6"/>
  <c r="C158" i="6"/>
  <c r="D158" i="6"/>
  <c r="A159" i="6"/>
  <c r="B159" i="6"/>
  <c r="C159" i="6"/>
  <c r="D159" i="6"/>
  <c r="A160" i="6"/>
  <c r="B160" i="6"/>
  <c r="C160" i="6"/>
  <c r="D160" i="6"/>
  <c r="A161" i="6"/>
  <c r="B161" i="6"/>
  <c r="C161" i="6"/>
  <c r="D161" i="6"/>
  <c r="A162" i="6"/>
  <c r="B162" i="6"/>
  <c r="C162" i="6"/>
  <c r="D162" i="6"/>
  <c r="A163" i="6"/>
  <c r="B163" i="6"/>
  <c r="C163" i="6"/>
  <c r="D163" i="6"/>
  <c r="A164" i="6"/>
  <c r="B164" i="6"/>
  <c r="C164" i="6"/>
  <c r="D164" i="6"/>
  <c r="A165" i="6"/>
  <c r="B165" i="6"/>
  <c r="C165" i="6"/>
  <c r="D165" i="6"/>
  <c r="A166" i="6"/>
  <c r="B166" i="6"/>
  <c r="C166" i="6"/>
  <c r="D166" i="6"/>
  <c r="A167" i="6"/>
  <c r="B167" i="6"/>
  <c r="C167" i="6"/>
  <c r="D167" i="6"/>
  <c r="A168" i="6"/>
  <c r="B168" i="6"/>
  <c r="C168" i="6"/>
  <c r="D168" i="6"/>
  <c r="A169" i="6"/>
  <c r="B169" i="6"/>
  <c r="C169" i="6"/>
  <c r="D169" i="6"/>
  <c r="A170" i="6"/>
  <c r="B170" i="6"/>
  <c r="C170" i="6"/>
  <c r="D170" i="6"/>
  <c r="A171" i="6"/>
  <c r="B171" i="6"/>
  <c r="C171" i="6"/>
  <c r="D171" i="6"/>
  <c r="A172" i="6"/>
  <c r="B172" i="6"/>
  <c r="C172" i="6"/>
  <c r="D172" i="6"/>
  <c r="A173" i="6"/>
  <c r="B173" i="6"/>
  <c r="C173" i="6"/>
  <c r="D173" i="6"/>
  <c r="A174" i="6"/>
  <c r="B174" i="6"/>
  <c r="C174" i="6"/>
  <c r="D174" i="6"/>
  <c r="N73" i="6"/>
  <c r="N74" i="6"/>
  <c r="N75" i="6"/>
  <c r="N76" i="6"/>
  <c r="N77" i="6"/>
  <c r="N78" i="6"/>
  <c r="N79" i="6"/>
  <c r="N80" i="6"/>
  <c r="N81" i="6"/>
  <c r="N82" i="6"/>
  <c r="B73" i="6"/>
  <c r="C73" i="6"/>
  <c r="D73" i="6"/>
  <c r="E73" i="6"/>
  <c r="F73" i="6"/>
  <c r="G73" i="6"/>
  <c r="H73" i="6"/>
  <c r="I73" i="6"/>
  <c r="J73" i="6" s="1"/>
  <c r="B74" i="6"/>
  <c r="C74" i="6"/>
  <c r="D74" i="6"/>
  <c r="E74" i="6"/>
  <c r="F74" i="6"/>
  <c r="G74" i="6"/>
  <c r="H74" i="6"/>
  <c r="I74" i="6"/>
  <c r="J74" i="6" s="1"/>
  <c r="B75" i="6"/>
  <c r="C75" i="6"/>
  <c r="D75" i="6"/>
  <c r="E75" i="6"/>
  <c r="F75" i="6"/>
  <c r="G75" i="6"/>
  <c r="H75" i="6"/>
  <c r="I75" i="6"/>
  <c r="J75" i="6" s="1"/>
  <c r="B76" i="6"/>
  <c r="C76" i="6"/>
  <c r="D76" i="6"/>
  <c r="E76" i="6"/>
  <c r="F76" i="6"/>
  <c r="G76" i="6"/>
  <c r="H76" i="6"/>
  <c r="I76" i="6"/>
  <c r="J76" i="6" s="1"/>
  <c r="B77" i="6"/>
  <c r="C77" i="6"/>
  <c r="D77" i="6"/>
  <c r="E77" i="6"/>
  <c r="F77" i="6"/>
  <c r="G77" i="6"/>
  <c r="H77" i="6"/>
  <c r="I77" i="6"/>
  <c r="J77" i="6" s="1"/>
  <c r="B78" i="6"/>
  <c r="C78" i="6"/>
  <c r="D78" i="6"/>
  <c r="E78" i="6"/>
  <c r="F78" i="6"/>
  <c r="G78" i="6"/>
  <c r="H78" i="6"/>
  <c r="I78" i="6"/>
  <c r="J78" i="6" s="1"/>
  <c r="B79" i="6"/>
  <c r="C79" i="6"/>
  <c r="D79" i="6"/>
  <c r="E79" i="6"/>
  <c r="F79" i="6"/>
  <c r="G79" i="6"/>
  <c r="H79" i="6"/>
  <c r="I79" i="6"/>
  <c r="J79" i="6" s="1"/>
  <c r="B80" i="6"/>
  <c r="C80" i="6"/>
  <c r="D80" i="6"/>
  <c r="E80" i="6"/>
  <c r="F80" i="6"/>
  <c r="G80" i="6"/>
  <c r="H80" i="6"/>
  <c r="I80" i="6"/>
  <c r="J80" i="6" s="1"/>
  <c r="B81" i="6"/>
  <c r="C81" i="6"/>
  <c r="D81" i="6"/>
  <c r="E81" i="6"/>
  <c r="F81" i="6"/>
  <c r="G81" i="6"/>
  <c r="H81" i="6"/>
  <c r="I81" i="6"/>
  <c r="J81" i="6" s="1"/>
  <c r="B82" i="6"/>
  <c r="C82" i="6"/>
  <c r="D82" i="6"/>
  <c r="E82" i="6"/>
  <c r="F82" i="6"/>
  <c r="G82" i="6"/>
  <c r="H82" i="6"/>
  <c r="I82" i="6"/>
  <c r="J82" i="6"/>
  <c r="N7" i="6"/>
  <c r="N5" i="6"/>
  <c r="B39" i="6"/>
  <c r="C39" i="6"/>
  <c r="D39" i="6"/>
  <c r="E39" i="6"/>
  <c r="F39" i="6"/>
  <c r="G39" i="6"/>
  <c r="H39" i="6"/>
  <c r="I39" i="6"/>
  <c r="J39" i="6"/>
  <c r="K39" i="6"/>
  <c r="B40" i="6"/>
  <c r="C40" i="6"/>
  <c r="D40" i="6"/>
  <c r="E40" i="6"/>
  <c r="F40" i="6"/>
  <c r="G40" i="6"/>
  <c r="H40" i="6"/>
  <c r="I40" i="6"/>
  <c r="J40" i="6"/>
  <c r="K40" i="6"/>
  <c r="B41" i="6"/>
  <c r="C41" i="6"/>
  <c r="D41" i="6"/>
  <c r="E41" i="6"/>
  <c r="F41" i="6"/>
  <c r="G41" i="6"/>
  <c r="H41" i="6"/>
  <c r="I41" i="6"/>
  <c r="J41" i="6"/>
  <c r="K41" i="6"/>
  <c r="B42" i="6"/>
  <c r="C42" i="6"/>
  <c r="D42" i="6"/>
  <c r="E42" i="6"/>
  <c r="F42" i="6"/>
  <c r="G42" i="6"/>
  <c r="H42" i="6"/>
  <c r="I42" i="6"/>
  <c r="J42" i="6"/>
  <c r="K42" i="6"/>
  <c r="B43" i="6"/>
  <c r="C43" i="6"/>
  <c r="D43" i="6"/>
  <c r="E43" i="6"/>
  <c r="F43" i="6"/>
  <c r="G43" i="6"/>
  <c r="H43" i="6"/>
  <c r="I43" i="6"/>
  <c r="J43" i="6"/>
  <c r="K43" i="6"/>
  <c r="B44" i="6"/>
  <c r="C44" i="6"/>
  <c r="D44" i="6"/>
  <c r="E44" i="6"/>
  <c r="F44" i="6"/>
  <c r="G44" i="6"/>
  <c r="H44" i="6"/>
  <c r="I44" i="6"/>
  <c r="J44" i="6"/>
  <c r="K44" i="6"/>
  <c r="B45" i="6"/>
  <c r="C45" i="6"/>
  <c r="D45" i="6"/>
  <c r="E45" i="6"/>
  <c r="F45" i="6"/>
  <c r="G45" i="6"/>
  <c r="H45" i="6"/>
  <c r="I45" i="6"/>
  <c r="J45" i="6"/>
  <c r="K45" i="6"/>
  <c r="B46" i="6"/>
  <c r="C46" i="6"/>
  <c r="D46" i="6"/>
  <c r="E46" i="6"/>
  <c r="F46" i="6"/>
  <c r="G46" i="6"/>
  <c r="H46" i="6"/>
  <c r="I46" i="6"/>
  <c r="J46" i="6"/>
  <c r="K46" i="6"/>
  <c r="B47" i="6"/>
  <c r="C47" i="6"/>
  <c r="D47" i="6"/>
  <c r="E47" i="6"/>
  <c r="F47" i="6"/>
  <c r="G47" i="6"/>
  <c r="H47" i="6"/>
  <c r="I47" i="6"/>
  <c r="J47" i="6"/>
  <c r="K47" i="6"/>
  <c r="B48" i="6"/>
  <c r="C48" i="6"/>
  <c r="D48" i="6"/>
  <c r="E48" i="6"/>
  <c r="F48" i="6"/>
  <c r="G48" i="6"/>
  <c r="H48" i="6"/>
  <c r="I48" i="6"/>
  <c r="J48" i="6"/>
  <c r="K48" i="6"/>
  <c r="I25" i="6"/>
  <c r="J25" i="6"/>
  <c r="K25" i="6"/>
  <c r="I26" i="6"/>
  <c r="J26" i="6"/>
  <c r="K26" i="6"/>
  <c r="I27" i="6"/>
  <c r="J27" i="6"/>
  <c r="K27" i="6"/>
  <c r="I28" i="6"/>
  <c r="J28" i="6"/>
  <c r="K28" i="6"/>
  <c r="I29" i="6"/>
  <c r="J29" i="6"/>
  <c r="K29" i="6"/>
  <c r="I30" i="6"/>
  <c r="J30" i="6"/>
  <c r="K30" i="6"/>
  <c r="I31" i="6"/>
  <c r="J31" i="6"/>
  <c r="K31" i="6"/>
  <c r="I32" i="6"/>
  <c r="J32" i="6"/>
  <c r="K32" i="6"/>
  <c r="I33" i="6"/>
  <c r="J33" i="6"/>
  <c r="K33" i="6"/>
  <c r="I34" i="6"/>
  <c r="J34" i="6"/>
  <c r="K34" i="6"/>
  <c r="E25" i="6"/>
  <c r="F25" i="6"/>
  <c r="G25" i="6"/>
  <c r="E26" i="6"/>
  <c r="F26" i="6"/>
  <c r="G26" i="6"/>
  <c r="E27" i="6"/>
  <c r="F27" i="6"/>
  <c r="G27" i="6"/>
  <c r="E28" i="6"/>
  <c r="F28" i="6"/>
  <c r="G28" i="6"/>
  <c r="E29" i="6"/>
  <c r="F29" i="6"/>
  <c r="G29" i="6"/>
  <c r="E30" i="6"/>
  <c r="F30" i="6"/>
  <c r="G30" i="6"/>
  <c r="E31" i="6"/>
  <c r="F31" i="6"/>
  <c r="G31" i="6"/>
  <c r="E32" i="6"/>
  <c r="F32" i="6"/>
  <c r="G32" i="6"/>
  <c r="E33" i="6"/>
  <c r="F33" i="6"/>
  <c r="G33" i="6"/>
  <c r="E34" i="6"/>
  <c r="F34" i="6"/>
  <c r="G34" i="6"/>
  <c r="A25" i="6"/>
  <c r="B25" i="6"/>
  <c r="C25" i="6"/>
  <c r="A26" i="6"/>
  <c r="B26" i="6"/>
  <c r="C26" i="6"/>
  <c r="A27" i="6"/>
  <c r="B27" i="6"/>
  <c r="C27" i="6"/>
  <c r="A28" i="6"/>
  <c r="B28" i="6"/>
  <c r="C28" i="6"/>
  <c r="A29" i="6"/>
  <c r="B29" i="6"/>
  <c r="C29" i="6"/>
  <c r="A30" i="6"/>
  <c r="B30" i="6"/>
  <c r="C30" i="6"/>
  <c r="A31" i="6"/>
  <c r="B31" i="6"/>
  <c r="C31" i="6"/>
  <c r="A32" i="6"/>
  <c r="B32" i="6"/>
  <c r="C32" i="6"/>
  <c r="A33" i="6"/>
  <c r="B33" i="6"/>
  <c r="C33" i="6"/>
  <c r="A34" i="6"/>
  <c r="B34" i="6"/>
  <c r="C34" i="6"/>
  <c r="B12" i="6"/>
  <c r="C12" i="6"/>
  <c r="D12" i="6"/>
  <c r="E12" i="6"/>
  <c r="F12" i="6"/>
  <c r="G12" i="6"/>
  <c r="H12" i="6"/>
  <c r="I12" i="6"/>
  <c r="J12" i="6"/>
  <c r="B13" i="6"/>
  <c r="C13" i="6"/>
  <c r="D13" i="6"/>
  <c r="E13" i="6"/>
  <c r="F13" i="6"/>
  <c r="G13" i="6"/>
  <c r="H13" i="6"/>
  <c r="I13" i="6"/>
  <c r="J13" i="6"/>
  <c r="B14" i="6"/>
  <c r="C14" i="6"/>
  <c r="D14" i="6"/>
  <c r="E14" i="6"/>
  <c r="F14" i="6"/>
  <c r="G14" i="6"/>
  <c r="H14" i="6"/>
  <c r="I14" i="6"/>
  <c r="J14" i="6"/>
  <c r="B15" i="6"/>
  <c r="C15" i="6"/>
  <c r="D15" i="6"/>
  <c r="E15" i="6"/>
  <c r="F15" i="6"/>
  <c r="G15" i="6"/>
  <c r="H15" i="6"/>
  <c r="I15" i="6"/>
  <c r="J15" i="6"/>
  <c r="B16" i="6"/>
  <c r="C16" i="6"/>
  <c r="D16" i="6"/>
  <c r="E16" i="6"/>
  <c r="F16" i="6"/>
  <c r="G16" i="6"/>
  <c r="H16" i="6"/>
  <c r="I16" i="6"/>
  <c r="J16" i="6"/>
  <c r="B17" i="6"/>
  <c r="C17" i="6"/>
  <c r="D17" i="6"/>
  <c r="E17" i="6"/>
  <c r="F17" i="6"/>
  <c r="G17" i="6"/>
  <c r="H17" i="6"/>
  <c r="I17" i="6"/>
  <c r="J17" i="6"/>
  <c r="B18" i="6"/>
  <c r="C18" i="6"/>
  <c r="D18" i="6"/>
  <c r="E18" i="6"/>
  <c r="F18" i="6"/>
  <c r="G18" i="6"/>
  <c r="H18" i="6"/>
  <c r="I18" i="6"/>
  <c r="J18" i="6"/>
  <c r="B19" i="6"/>
  <c r="C19" i="6"/>
  <c r="D19" i="6"/>
  <c r="E19" i="6"/>
  <c r="F19" i="6"/>
  <c r="G19" i="6"/>
  <c r="H19" i="6"/>
  <c r="I19" i="6"/>
  <c r="J19" i="6"/>
  <c r="B20" i="6"/>
  <c r="C20" i="6"/>
  <c r="D20" i="6"/>
  <c r="E20" i="6"/>
  <c r="F20" i="6"/>
  <c r="G20" i="6"/>
  <c r="H20" i="6"/>
  <c r="I20" i="6"/>
  <c r="J20" i="6"/>
  <c r="B21" i="6"/>
  <c r="C21" i="6"/>
  <c r="D21" i="6"/>
  <c r="E21" i="6"/>
  <c r="F21" i="6"/>
  <c r="G21" i="6"/>
  <c r="H21" i="6"/>
  <c r="I21" i="6"/>
  <c r="J21" i="6"/>
  <c r="B9" i="6"/>
  <c r="N6" i="6" s="1"/>
  <c r="B8" i="6"/>
  <c r="N4" i="6" s="1"/>
  <c r="B7" i="6"/>
  <c r="B6" i="6"/>
  <c r="B4" i="6"/>
</calcChain>
</file>

<file path=xl/sharedStrings.xml><?xml version="1.0" encoding="utf-8"?>
<sst xmlns="http://schemas.openxmlformats.org/spreadsheetml/2006/main" count="4028" uniqueCount="266">
  <si>
    <t>País</t>
  </si>
  <si>
    <t>Código país</t>
  </si>
  <si>
    <t>Año</t>
  </si>
  <si>
    <t>GDP per capita, PPP (constant 2021 international $)</t>
  </si>
  <si>
    <t>Government Effectiveness: Estimate</t>
  </si>
  <si>
    <t>Government expenditure on education, total (% of GDP)</t>
  </si>
  <si>
    <t>Patent applications, residents</t>
  </si>
  <si>
    <t>Population, total</t>
  </si>
  <si>
    <t>Research and development expenditure (% of GDP)</t>
  </si>
  <si>
    <t>Trade (% of GDP)</t>
  </si>
  <si>
    <t>SDG INDEX</t>
  </si>
  <si>
    <t>Argentina</t>
  </si>
  <si>
    <t>ARG</t>
  </si>
  <si>
    <t>Armenia</t>
  </si>
  <si>
    <t>ARM</t>
  </si>
  <si>
    <t>Austria</t>
  </si>
  <si>
    <t>AUT</t>
  </si>
  <si>
    <t>Azerbaijan</t>
  </si>
  <si>
    <t>AZE</t>
  </si>
  <si>
    <t>Bangladesh</t>
  </si>
  <si>
    <t>BGD</t>
  </si>
  <si>
    <t>Belarus</t>
  </si>
  <si>
    <t>BLR</t>
  </si>
  <si>
    <t>Belgium</t>
  </si>
  <si>
    <t>BEL</t>
  </si>
  <si>
    <t>Bosnia and Herzegovina</t>
  </si>
  <si>
    <t>BIH</t>
  </si>
  <si>
    <t>Brazil</t>
  </si>
  <si>
    <t>BRA</t>
  </si>
  <si>
    <t>Bulgaria</t>
  </si>
  <si>
    <t>BGR</t>
  </si>
  <si>
    <t>Canada</t>
  </si>
  <si>
    <t>CAN</t>
  </si>
  <si>
    <t>Chile</t>
  </si>
  <si>
    <t>CHL</t>
  </si>
  <si>
    <t>China</t>
  </si>
  <si>
    <t>CHN</t>
  </si>
  <si>
    <t>Colombia</t>
  </si>
  <si>
    <t>COL</t>
  </si>
  <si>
    <t>Costa Rica</t>
  </si>
  <si>
    <t>CRI</t>
  </si>
  <si>
    <t>Croatia</t>
  </si>
  <si>
    <t>HRV</t>
  </si>
  <si>
    <t>Cyprus</t>
  </si>
  <si>
    <t>CYP</t>
  </si>
  <si>
    <t>Czechia</t>
  </si>
  <si>
    <t>CZE</t>
  </si>
  <si>
    <t>Denmark</t>
  </si>
  <si>
    <t>DNK</t>
  </si>
  <si>
    <t>Egypt, Arab Rep.</t>
  </si>
  <si>
    <t>EGY</t>
  </si>
  <si>
    <t>Estonia</t>
  </si>
  <si>
    <t>EST</t>
  </si>
  <si>
    <t>Finland</t>
  </si>
  <si>
    <t>FIN</t>
  </si>
  <si>
    <t>France</t>
  </si>
  <si>
    <t>FRA</t>
  </si>
  <si>
    <t>Georgia</t>
  </si>
  <si>
    <t>GEO</t>
  </si>
  <si>
    <t>Germany</t>
  </si>
  <si>
    <t>DEU</t>
  </si>
  <si>
    <t>Greece</t>
  </si>
  <si>
    <t>GRC</t>
  </si>
  <si>
    <t>Guatemala</t>
  </si>
  <si>
    <t>GTM</t>
  </si>
  <si>
    <t>Hungary</t>
  </si>
  <si>
    <t>HUN</t>
  </si>
  <si>
    <t>Iceland</t>
  </si>
  <si>
    <t>ISL</t>
  </si>
  <si>
    <t>India</t>
  </si>
  <si>
    <t>IND</t>
  </si>
  <si>
    <t>Indonesia</t>
  </si>
  <si>
    <t>IDN</t>
  </si>
  <si>
    <t>Iran, Islamic Rep.</t>
  </si>
  <si>
    <t>IRN</t>
  </si>
  <si>
    <t>Ireland</t>
  </si>
  <si>
    <t>IRL</t>
  </si>
  <si>
    <t>Israel</t>
  </si>
  <si>
    <t>ISR</t>
  </si>
  <si>
    <t>Italy</t>
  </si>
  <si>
    <t>ITA</t>
  </si>
  <si>
    <t>Japan</t>
  </si>
  <si>
    <t>JPN</t>
  </si>
  <si>
    <t>Kazakhstan</t>
  </si>
  <si>
    <t>KAZ</t>
  </si>
  <si>
    <t>Kenya</t>
  </si>
  <si>
    <t>KEN</t>
  </si>
  <si>
    <t>Korea, Rep.</t>
  </si>
  <si>
    <t>KOR</t>
  </si>
  <si>
    <t>Kyrgyz Republic</t>
  </si>
  <si>
    <t>KGZ</t>
  </si>
  <si>
    <t>Latvia</t>
  </si>
  <si>
    <t>LVA</t>
  </si>
  <si>
    <t>Lithuania</t>
  </si>
  <si>
    <t>LTU</t>
  </si>
  <si>
    <t>Luxembourg</t>
  </si>
  <si>
    <t>LUX</t>
  </si>
  <si>
    <t>Madagascar</t>
  </si>
  <si>
    <t>MDG</t>
  </si>
  <si>
    <t>Malaysia</t>
  </si>
  <si>
    <t>MYS</t>
  </si>
  <si>
    <t>Malta</t>
  </si>
  <si>
    <t>MLT</t>
  </si>
  <si>
    <t>Mexico</t>
  </si>
  <si>
    <t>MEX</t>
  </si>
  <si>
    <t>Moldova</t>
  </si>
  <si>
    <t>MDA</t>
  </si>
  <si>
    <t>Mongolia</t>
  </si>
  <si>
    <t>MNG</t>
  </si>
  <si>
    <t>Netherlands</t>
  </si>
  <si>
    <t>NLD</t>
  </si>
  <si>
    <t>Norway</t>
  </si>
  <si>
    <t>NOR</t>
  </si>
  <si>
    <t>Pakistan</t>
  </si>
  <si>
    <t>PAK</t>
  </si>
  <si>
    <t>Paraguay</t>
  </si>
  <si>
    <t>PRY</t>
  </si>
  <si>
    <t>Peru</t>
  </si>
  <si>
    <t>PER</t>
  </si>
  <si>
    <t>Philippines</t>
  </si>
  <si>
    <t>PHL</t>
  </si>
  <si>
    <t>Poland</t>
  </si>
  <si>
    <t>POL</t>
  </si>
  <si>
    <t>Portugal</t>
  </si>
  <si>
    <t>PRT</t>
  </si>
  <si>
    <t>Romania</t>
  </si>
  <si>
    <t>ROU</t>
  </si>
  <si>
    <t>Russian Federation</t>
  </si>
  <si>
    <t>RUS</t>
  </si>
  <si>
    <t>Serbia</t>
  </si>
  <si>
    <t>SRB</t>
  </si>
  <si>
    <t>Singapore</t>
  </si>
  <si>
    <t>SGP</t>
  </si>
  <si>
    <t>Slovak Republic</t>
  </si>
  <si>
    <t>SVK</t>
  </si>
  <si>
    <t>Slovenia</t>
  </si>
  <si>
    <t>SVN</t>
  </si>
  <si>
    <t>South Africa</t>
  </si>
  <si>
    <t>ZAF</t>
  </si>
  <si>
    <t>Spain</t>
  </si>
  <si>
    <t>ESP</t>
  </si>
  <si>
    <t>Sweden</t>
  </si>
  <si>
    <t>SWE</t>
  </si>
  <si>
    <t>Switzerland</t>
  </si>
  <si>
    <t>CHE</t>
  </si>
  <si>
    <t>Tajikistan</t>
  </si>
  <si>
    <t>TJK</t>
  </si>
  <si>
    <t>Thailand</t>
  </si>
  <si>
    <t>THA</t>
  </si>
  <si>
    <t>Tunisia</t>
  </si>
  <si>
    <t>TUN</t>
  </si>
  <si>
    <t>Ukraine</t>
  </si>
  <si>
    <t>UKR</t>
  </si>
  <si>
    <t>United Kingdom</t>
  </si>
  <si>
    <t>GBR</t>
  </si>
  <si>
    <t>United States</t>
  </si>
  <si>
    <t>USA</t>
  </si>
  <si>
    <t>Uruguay</t>
  </si>
  <si>
    <t>URY</t>
  </si>
  <si>
    <t>Uzbekistan</t>
  </si>
  <si>
    <t>UZB</t>
  </si>
  <si>
    <t>Zambia</t>
  </si>
  <si>
    <t>ZMB</t>
  </si>
  <si>
    <t>n_years</t>
  </si>
  <si>
    <t>SDG INDEX 2021</t>
  </si>
  <si>
    <t>SDG INDEX 2025</t>
  </si>
  <si>
    <t>SDG INDEX 2025 - 2021</t>
  </si>
  <si>
    <t>GDP per capita, PPP (constant 2021 international $) - valid observations</t>
  </si>
  <si>
    <t>Government Effectiveness: Estimate - valid observations</t>
  </si>
  <si>
    <t>Government expenditure on education, total (% of GDP) - valid observations</t>
  </si>
  <si>
    <t>Patent applications, residents - valid observations</t>
  </si>
  <si>
    <t>Population, total - valid observations</t>
  </si>
  <si>
    <t>Research and development expenditure (% of GDP) - valid observations</t>
  </si>
  <si>
    <t>Trade (% of GDP) - valid observations</t>
  </si>
  <si>
    <t>SDG INDEX - valid observations</t>
  </si>
  <si>
    <t>Patents per million inhabitants</t>
  </si>
  <si>
    <t>ln_GDP_per_capita_PPP</t>
  </si>
  <si>
    <t>ln_Patents_per_million_plus_1</t>
  </si>
  <si>
    <t>Final ln GDP per capita PPP</t>
  </si>
  <si>
    <t>Final Government Effectiveness</t>
  </si>
  <si>
    <t>Final Education expenditure (% GDP)</t>
  </si>
  <si>
    <t>Final ln Patents per million + 1</t>
  </si>
  <si>
    <t>Final Research expenditure (% GDP)</t>
  </si>
  <si>
    <t>Final Trade (% GDP)</t>
  </si>
  <si>
    <t>z_ln_GDP_per_capita_PPP</t>
  </si>
  <si>
    <t>z_Government_Effectiveness</t>
  </si>
  <si>
    <t>z_Education_expenditure_pct_GDP</t>
  </si>
  <si>
    <t>z_ln_Patents_per_million_plus_1</t>
  </si>
  <si>
    <t>z_Research_expenditure_pct_GDP</t>
  </si>
  <si>
    <t>z_Trade_pct_GDP</t>
  </si>
  <si>
    <t>Paso</t>
  </si>
  <si>
    <t>Descripción</t>
  </si>
  <si>
    <t>Se añadió la diferencia "SDG INDEX 2025 - 2021".</t>
  </si>
  <si>
    <t>Se construyó "Patents per million inhabitants" = patentes medias / población media * 1.000.000.</t>
  </si>
  <si>
    <t>Transformación logarítmica aplicada a GDP per capita PPP y a Patents per million + 1.</t>
  </si>
  <si>
    <t>Variable evaluada</t>
  </si>
  <si>
    <t>ln GDP per capita PPP</t>
  </si>
  <si>
    <t>Sí</t>
  </si>
  <si>
    <t>No</t>
  </si>
  <si>
    <t>ln Patents per million + 1</t>
  </si>
  <si>
    <t>Nota versión final</t>
  </si>
  <si>
    <t>Finalmente, las 6 variables explicativas se tipifican</t>
  </si>
  <si>
    <t>Base de partida: países filtrados con regla de relevancia 75% en al menos 5 de 6 variables.</t>
  </si>
  <si>
    <t>Se utilizan variables agregadas</t>
  </si>
  <si>
    <t>Log</t>
  </si>
  <si>
    <t>Estandarización</t>
  </si>
  <si>
    <t>Análisis descriptivo - Modelo final tipificado</t>
  </si>
  <si>
    <t>Indicador</t>
  </si>
  <si>
    <t>Valor</t>
  </si>
  <si>
    <t>Países analizados</t>
  </si>
  <si>
    <t>Variables numéricas</t>
  </si>
  <si>
    <t>Celdas numéricas faltantes</t>
  </si>
  <si>
    <t>Media SDG INDEX 2025</t>
  </si>
  <si>
    <t>País con mayor SDG INDEX 2025</t>
  </si>
  <si>
    <t>País con mayor mejora 2025-2021</t>
  </si>
  <si>
    <t>Variable</t>
  </si>
  <si>
    <t>N</t>
  </si>
  <si>
    <t>Faltantes</t>
  </si>
  <si>
    <t>Media</t>
  </si>
  <si>
    <t>Mediana</t>
  </si>
  <si>
    <t>Desv. Est.</t>
  </si>
  <si>
    <t>Mín.</t>
  </si>
  <si>
    <t>Q1</t>
  </si>
  <si>
    <t>Q3</t>
  </si>
  <si>
    <t>Máx.</t>
  </si>
  <si>
    <t>Top 10 SDG INDEX 2025</t>
  </si>
  <si>
    <t>Código</t>
  </si>
  <si>
    <t>Bottom 10 SDG INDEX 2025</t>
  </si>
  <si>
    <t>Top 10 mejora 2025-2021</t>
  </si>
  <si>
    <t>Mejora</t>
  </si>
  <si>
    <t>Matriz de correlaciones</t>
  </si>
  <si>
    <t>Lectura rápida</t>
  </si>
  <si>
    <t>Resultado</t>
  </si>
  <si>
    <t>Mayor nivel 2025</t>
  </si>
  <si>
    <t>Menor nivel 2025</t>
  </si>
  <si>
    <t>Mayor mejora</t>
  </si>
  <si>
    <t>Mayor deterioro</t>
  </si>
  <si>
    <t>Nota</t>
  </si>
  <si>
    <t>Las variables z están tipificadas: media ≈ 0 y desv. est. ≈ 1.</t>
  </si>
  <si>
    <t>Bloque formal para el TFG</t>
  </si>
  <si>
    <t>La Tabla de estadísticos descriptivos resume la estructura de la muestra utilizada en el análisis econométrico. La muestra incluye 76 países y 10 variables numéricas, con únicamente 2 observaciones faltantes en el conjunto de variables explicativas. En términos generales, los resultados muestran una muestra heterogénea, con diferencias relevantes entre países tanto en el nivel del SDG Index como en los determinantes económicos, institucionales, educativos, tecnológicos y de apertura comercial.</t>
  </si>
  <si>
    <t>La dispersión observada en el SDG INDEX 2025 evidencia diferencias sustanciales entre países: el valor máximo corresponde a Finlandia, mientras que Madagascar registra el menor nivel. Asimismo, la variación 2025-2021 permite identificar dinámicas de mejora o deterioro relativo: Singapore presenta la mayor mejora y Hungary el mayor deterioro. Estos resultados justifican analizar no solo el nivel de desarrollo sostenible alcanzado, sino también su relación con variables estructurales como el PIB per cápita, la efectividad gubernamental, la inversión en educación, la innovación, la I+D y la apertura comercial.</t>
  </si>
  <si>
    <t>Para complementar la estadística descriptiva se aplicó la regla del rango intercuartílico (IQR) para detectar posibles valores atípicos. Los diagramas de cajas y bigotes permiten visualizar formalmente la dispersión, la mediana, el rango intercuartílico y los outliers potenciales. La presencia de outliers no implica necesariamente su eliminación, especialmente en una muestra internacional, ya que pueden reflejar diferencias estructurales reales entre países. Por tanto, se recomienda mantenerlos salvo que exista evidencia de error de medición o registro.</t>
  </si>
  <si>
    <t>Dispersión y detección de outliers (regla IQR)</t>
  </si>
  <si>
    <t>Rango</t>
  </si>
  <si>
    <t>IQR</t>
  </si>
  <si>
    <t>Límite inferior</t>
  </si>
  <si>
    <t>Límite superior</t>
  </si>
  <si>
    <t>Nº outliers</t>
  </si>
  <si>
    <t>Criterio</t>
  </si>
  <si>
    <t>Resumen outliers</t>
  </si>
  <si>
    <t>Nº</t>
  </si>
  <si>
    <t>Outliers 1</t>
  </si>
  <si>
    <t>Outliers 2</t>
  </si>
  <si>
    <t>Outliers 3</t>
  </si>
  <si>
    <t>Outliers 4</t>
  </si>
  <si>
    <t>Outliers 5</t>
  </si>
  <si>
    <t>Outliers 6</t>
  </si>
  <si>
    <t>Outliers 7</t>
  </si>
  <si>
    <t>Outliers 8</t>
  </si>
  <si>
    <t>Outliers 9</t>
  </si>
  <si>
    <t>Outliers 10</t>
  </si>
  <si>
    <t>Tratamiento propuesto de outliers</t>
  </si>
  <si>
    <t>Decisión metodológica: no se eliminan automáticamente los valores atípicos detectados por IQR. En un análisis comparado entre países, los extremos pueden representar economías con estructuras reales muy distintas y aportar información relevante. Los outliers se documentan y se conservan para el modelo principal; como comprobación de robustez, podría estimarse posteriormente una especificación alternativa excluyendo observaciones extremas si el tutor lo solicita.</t>
  </si>
  <si>
    <t>Boxplots - dispersión y outliers</t>
  </si>
  <si>
    <t>Los diagramas de cajas y bigotes se construyen con los datos reales del modelo. Se separan las variables SDG originales de las variables tipificadas para no mezclar escalas y facilitar la interpretación de outliers.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</si>
</sst>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b/>
      <sz val="11"/>
      <color rgb="FFFFFFFF"/>
      <name val="Calibri"/>
      <family val="2"/>
    </font>
    <font>
      <sz val="10"/>
      <color theme="1"/>
      <name val="Calibri"/>
      <family val="2"/>
      <scheme val="minor"/>
    </font>
    <font>
      <b/>
      <sz val="16"/>
      <color rgb="FFFFFFFF"/>
      <name val="Calibri"/>
      <family val="2"/>
      <scheme val="minor"/>
    </font>
    <font>
      <b/>
      <sz val="10"/>
      <color theme="1"/>
      <name val="Calibri"/>
      <family val="2"/>
      <scheme val="minor"/>
    </font>
    <font>
      <b/>
      <sz val="10"/>
      <color rgb="FFFFFFFF"/>
      <name val="Calibri"/>
      <family val="2"/>
      <scheme val="minor"/>
    </font>
    <font>
      <b/>
      <sz val="11"/>
      <color rgb="FFFFFFFF"/>
      <name val="Calibri"/>
      <family val="2"/>
      <scheme val="minor"/>
    </font>
    <font>
      <b/>
      <sz val="8"/>
      <color theme="1"/>
      <name val="Calibri"/>
      <family val="2"/>
      <scheme val="minor"/>
    </font>
    <font>
      <sz val="8"/>
      <color theme="1"/>
      <name val="Calibri"/>
      <family val="2"/>
      <scheme val="minor"/>
    </font>
  </fonts>
  <fills count="6">
    <fill>
      <patternFill patternType="none"/>
    </fill>
    <fill>
      <patternFill patternType="gray125"/>
    </fill>
    <fill>
      <patternFill patternType="solid">
        <fgColor rgb="FF1F4E78"/>
      </patternFill>
    </fill>
    <fill>
      <patternFill patternType="solid">
        <fgColor rgb="FF4F81BD"/>
      </patternFill>
    </fill>
    <fill>
      <patternFill patternType="solid">
        <fgColor rgb="FF1F4E78"/>
        <bgColor indexed="64"/>
      </patternFill>
    </fill>
    <fill>
      <patternFill patternType="solid">
        <fgColor rgb="FFD9EAF7"/>
        <bgColor indexed="64"/>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28">
    <xf numFmtId="0" fontId="0" fillId="0" borderId="0" xfId="0"/>
    <xf numFmtId="0" fontId="1" fillId="2" borderId="0" xfId="0" applyFont="1" applyFill="1" applyAlignment="1">
      <alignment vertical="center"/>
    </xf>
    <xf numFmtId="0" fontId="0" fillId="0" borderId="0" xfId="0" applyAlignment="1">
      <alignment vertical="center"/>
    </xf>
    <xf numFmtId="164" fontId="0" fillId="0" borderId="0" xfId="0" applyNumberFormat="1" applyAlignment="1">
      <alignment vertical="center"/>
    </xf>
    <xf numFmtId="3" fontId="0" fillId="0" borderId="0" xfId="0" applyNumberFormat="1" applyAlignment="1">
      <alignment vertical="center"/>
    </xf>
    <xf numFmtId="1" fontId="0" fillId="0" borderId="0" xfId="0" applyNumberFormat="1" applyAlignment="1">
      <alignment vertical="center"/>
    </xf>
    <xf numFmtId="0" fontId="1" fillId="2" borderId="0" xfId="0" applyFont="1" applyFill="1" applyAlignment="1">
      <alignment vertical="center" wrapText="1"/>
    </xf>
    <xf numFmtId="0" fontId="0" fillId="0" borderId="0" xfId="0" applyAlignment="1">
      <alignment vertical="center" wrapText="1"/>
    </xf>
    <xf numFmtId="0" fontId="1" fillId="3" borderId="0" xfId="0" applyFont="1" applyFill="1" applyAlignment="1">
      <alignment vertical="center" wrapText="1"/>
    </xf>
    <xf numFmtId="0" fontId="1" fillId="0" borderId="0" xfId="0" applyFont="1"/>
    <xf numFmtId="0" fontId="2" fillId="0" borderId="0" xfId="0" applyFont="1"/>
    <xf numFmtId="0" fontId="4" fillId="5" borderId="0" xfId="0" applyFont="1" applyFill="1"/>
    <xf numFmtId="164" fontId="2" fillId="0" borderId="0" xfId="0" applyNumberFormat="1" applyFont="1"/>
    <xf numFmtId="1" fontId="2" fillId="0" borderId="0" xfId="0" applyNumberFormat="1" applyFont="1"/>
    <xf numFmtId="0" fontId="3" fillId="4" borderId="0" xfId="0" applyFont="1" applyFill="1"/>
    <xf numFmtId="0" fontId="2" fillId="0" borderId="0" xfId="0" applyFont="1"/>
    <xf numFmtId="0" fontId="5" fillId="4" borderId="0" xfId="0" applyFont="1" applyFill="1"/>
    <xf numFmtId="0" fontId="0" fillId="4" borderId="0" xfId="0" applyFill="1"/>
    <xf numFmtId="0" fontId="6" fillId="4" borderId="0" xfId="0" applyFont="1" applyFill="1"/>
    <xf numFmtId="0" fontId="0" fillId="0" borderId="0" xfId="0" applyAlignment="1">
      <alignment wrapText="1"/>
    </xf>
    <xf numFmtId="0" fontId="2" fillId="0" borderId="0" xfId="0" applyFont="1" applyAlignment="1">
      <alignment wrapText="1"/>
    </xf>
    <xf numFmtId="0" fontId="4" fillId="5" borderId="1" xfId="0" applyFont="1" applyFill="1" applyBorder="1"/>
    <xf numFmtId="0" fontId="2" fillId="0" borderId="2" xfId="0" applyFont="1" applyBorder="1"/>
    <xf numFmtId="164" fontId="2" fillId="0" borderId="2" xfId="0" applyNumberFormat="1" applyFont="1" applyBorder="1"/>
    <xf numFmtId="1" fontId="2" fillId="0" borderId="2" xfId="0" applyNumberFormat="1" applyFont="1" applyBorder="1"/>
    <xf numFmtId="0" fontId="7" fillId="5" borderId="0" xfId="0" applyFont="1" applyFill="1"/>
    <xf numFmtId="0" fontId="8" fillId="0" borderId="0" xfId="0" applyFont="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data id="2">
      <cx:numDim type="val">
        <cx:f>_xlchart.v1.17</cx:f>
      </cx:numDim>
    </cx:data>
    <cx:data id="3">
      <cx:numDim type="val">
        <cx:f>_xlchart.v1.19</cx:f>
      </cx:numDim>
    </cx:data>
  </cx:chartData>
  <cx:chart>
    <cx:title pos="t" align="ctr" overlay="0">
      <cx:tx>
        <cx:txData>
          <cx:v>Boxplots de variables SDG</cx:v>
        </cx:txData>
      </cx:tx>
    </cx:title>
    <cx:plotArea>
      <cx:plotAreaRegion>
        <cx:series layoutId="boxWhisker" uniqueId="{8CAFB91D-0657-BE4E-B8F2-0ED8CAF93A22}">
          <cx:tx>
            <cx:txData>
              <cx:f>_xlchart.v1.12</cx:f>
              <cx:v>SDG INDEX</cx:v>
            </cx:txData>
          </cx:tx>
          <cx:dataId val="0"/>
          <cx:layoutPr>
            <cx:visibility meanLine="0" meanMarker="1" nonoutliers="0" outliers="1"/>
            <cx:statistics quartileMethod="exclusive"/>
          </cx:layoutPr>
        </cx:series>
        <cx:series layoutId="boxWhisker" uniqueId="{8445259A-F271-C64D-AA37-2DDECBA22DB5}">
          <cx:tx>
            <cx:txData>
              <cx:f>_xlchart.v1.14</cx:f>
              <cx:v>SDG INDEX 2021</cx:v>
            </cx:txData>
          </cx:tx>
          <cx:dataId val="1"/>
          <cx:layoutPr>
            <cx:visibility meanLine="0" meanMarker="1" nonoutliers="0" outliers="1"/>
            <cx:statistics quartileMethod="exclusive"/>
          </cx:layoutPr>
        </cx:series>
        <cx:series layoutId="boxWhisker" uniqueId="{DE485793-3B2E-A84E-9903-87DE5327B576}">
          <cx:tx>
            <cx:txData>
              <cx:f>_xlchart.v1.16</cx:f>
              <cx:v>SDG INDEX 2025</cx:v>
            </cx:txData>
          </cx:tx>
          <cx:dataId val="2"/>
          <cx:layoutPr>
            <cx:visibility meanLine="0" meanMarker="1" nonoutliers="0" outliers="1"/>
            <cx:statistics quartileMethod="exclusive"/>
          </cx:layoutPr>
        </cx:series>
        <cx:series layoutId="boxWhisker" uniqueId="{EAABAA2B-918E-F146-A1E5-4BAF9D5DB52C}">
          <cx:tx>
            <cx:txData>
              <cx:f>_xlchart.v1.18</cx:f>
              <cx:v>SDG INDEX 2025 - 2021</cx:v>
            </cx:txData>
          </cx:tx>
          <cx:dataId val="3"/>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data id="2">
      <cx:numDim type="val">
        <cx:f>_xlchart.v1.25</cx:f>
      </cx:numDim>
    </cx:data>
    <cx:data id="3">
      <cx:numDim type="val">
        <cx:f>_xlchart.v1.27</cx:f>
      </cx:numDim>
    </cx:data>
    <cx:data id="4">
      <cx:numDim type="val">
        <cx:f>_xlchart.v1.29</cx:f>
      </cx:numDim>
    </cx:data>
    <cx:data id="5">
      <cx:numDim type="val">
        <cx:f>_xlchart.v1.31</cx:f>
      </cx:numDim>
    </cx:data>
  </cx:chartData>
  <cx:chart>
    <cx:title pos="t" align="ctr" overlay="0">
      <cx:tx>
        <cx:txData>
          <cx:v>Boxplots de variables tipificadas</cx:v>
        </cx:txData>
      </cx:tx>
    </cx:title>
    <cx:plotArea>
      <cx:plotAreaRegion>
        <cx:series layoutId="boxWhisker" uniqueId="{C025D816-A9B4-BE44-A49E-9EC356C63A82}">
          <cx:tx>
            <cx:txData>
              <cx:f>_xlchart.v1.20</cx:f>
              <cx:v>z_ln_GDP_per_capita_PPP</cx:v>
            </cx:txData>
          </cx:tx>
          <cx:dataId val="0"/>
          <cx:layoutPr>
            <cx:visibility meanLine="0" meanMarker="1" nonoutliers="0" outliers="1"/>
            <cx:statistics quartileMethod="exclusive"/>
          </cx:layoutPr>
        </cx:series>
        <cx:series layoutId="boxWhisker" uniqueId="{F78AE583-2746-B14F-92C2-3AA012096D08}">
          <cx:tx>
            <cx:txData>
              <cx:f>_xlchart.v1.22</cx:f>
              <cx:v>z_Government_Effectiveness</cx:v>
            </cx:txData>
          </cx:tx>
          <cx:dataId val="1"/>
          <cx:layoutPr>
            <cx:visibility meanLine="0" meanMarker="1" nonoutliers="0" outliers="1"/>
            <cx:statistics quartileMethod="exclusive"/>
          </cx:layoutPr>
        </cx:series>
        <cx:series layoutId="boxWhisker" uniqueId="{CD5D7674-2694-8A43-B43E-07244E2C1B27}">
          <cx:tx>
            <cx:txData>
              <cx:f>_xlchart.v1.24</cx:f>
              <cx:v>z_Education_expenditure_pct_GDP</cx:v>
            </cx:txData>
          </cx:tx>
          <cx:dataId val="2"/>
          <cx:layoutPr>
            <cx:visibility meanLine="0" meanMarker="1" nonoutliers="0" outliers="1"/>
            <cx:statistics quartileMethod="exclusive"/>
          </cx:layoutPr>
        </cx:series>
        <cx:series layoutId="boxWhisker" uniqueId="{D51F0C11-44A6-0048-A4D8-2463574044C0}">
          <cx:tx>
            <cx:txData>
              <cx:f>_xlchart.v1.26</cx:f>
              <cx:v>z_ln_Patents_per_million_plus_1</cx:v>
            </cx:txData>
          </cx:tx>
          <cx:dataId val="3"/>
          <cx:layoutPr>
            <cx:visibility meanLine="0" meanMarker="1" nonoutliers="0" outliers="1"/>
            <cx:statistics quartileMethod="exclusive"/>
          </cx:layoutPr>
        </cx:series>
        <cx:series layoutId="boxWhisker" uniqueId="{893FA619-F12D-9E48-BA48-B0A263DA0008}">
          <cx:tx>
            <cx:txData>
              <cx:f>_xlchart.v1.28</cx:f>
              <cx:v>z_Research_expenditure_pct_GDP</cx:v>
            </cx:txData>
          </cx:tx>
          <cx:dataId val="4"/>
          <cx:layoutPr>
            <cx:visibility meanLine="0" meanMarker="1" nonoutliers="0" outliers="1"/>
            <cx:statistics quartileMethod="exclusive"/>
          </cx:layoutPr>
        </cx:series>
        <cx:series layoutId="boxWhisker" uniqueId="{DB3EEA6E-3A9D-044E-A8F6-45C849F0DCE8}">
          <cx:tx>
            <cx:txData>
              <cx:f>_xlchart.v1.30</cx:f>
              <cx:v>z_Trade_pct_GDP</cx:v>
            </cx:txData>
          </cx:tx>
          <cx:dataId val="5"/>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127000</xdr:colOff>
      <xdr:row>104</xdr:row>
      <xdr:rowOff>50800</xdr:rowOff>
    </xdr:from>
    <xdr:to>
      <xdr:col>6</xdr:col>
      <xdr:colOff>571500</xdr:colOff>
      <xdr:row>125</xdr:row>
      <xdr:rowOff>114300</xdr:rowOff>
    </xdr:to>
    <mc:AlternateContent xmlns:mc="http://schemas.openxmlformats.org/markup-compatibility/2006">
      <mc:Choice xmlns:cx1="http://schemas.microsoft.com/office/drawing/2015/9/8/chartex" Requires="cx1">
        <xdr:graphicFrame macro="">
          <xdr:nvGraphicFramePr>
            <xdr:cNvPr id="2" name="Boxplot_SDG">
              <a:extLst>
                <a:ext uri="{FF2B5EF4-FFF2-40B4-BE49-F238E27FC236}">
                  <a16:creationId xmlns:a16="http://schemas.microsoft.com/office/drawing/2014/main" id="{87E1B0FA-85E5-87EA-8015-5595B7D9D3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7000" y="19939000"/>
              <a:ext cx="7874000" cy="4064000"/>
            </a:xfrm>
            <a:prstGeom prst="rect">
              <a:avLst/>
            </a:prstGeom>
            <a:solidFill>
              <a:prstClr val="white"/>
            </a:solidFill>
            <a:ln w="1">
              <a:solidFill>
                <a:prstClr val="green"/>
              </a:solidFill>
            </a:ln>
          </xdr:spPr>
          <xdr:txBody>
            <a:bodyPr vertOverflow="clip" horzOverflow="clip"/>
            <a:lstStyle/>
            <a:p>
              <a:r>
                <a:rPr lang="es-ES_tradnl"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6</xdr:col>
      <xdr:colOff>825500</xdr:colOff>
      <xdr:row>104</xdr:row>
      <xdr:rowOff>50800</xdr:rowOff>
    </xdr:from>
    <xdr:to>
      <xdr:col>12</xdr:col>
      <xdr:colOff>800100</xdr:colOff>
      <xdr:row>125</xdr:row>
      <xdr:rowOff>114300</xdr:rowOff>
    </xdr:to>
    <mc:AlternateContent xmlns:mc="http://schemas.openxmlformats.org/markup-compatibility/2006">
      <mc:Choice xmlns:cx1="http://schemas.microsoft.com/office/drawing/2015/9/8/chartex" Requires="cx1">
        <xdr:graphicFrame macro="">
          <xdr:nvGraphicFramePr>
            <xdr:cNvPr id="3" name="Boxplot_Variables_Tipificadas">
              <a:extLst>
                <a:ext uri="{FF2B5EF4-FFF2-40B4-BE49-F238E27FC236}">
                  <a16:creationId xmlns:a16="http://schemas.microsoft.com/office/drawing/2014/main" id="{1A716688-482C-31C6-C724-20AB2FE16A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255000" y="19939000"/>
              <a:ext cx="9144000" cy="4064000"/>
            </a:xfrm>
            <a:prstGeom prst="rect">
              <a:avLst/>
            </a:prstGeom>
            <a:solidFill>
              <a:prstClr val="white"/>
            </a:solidFill>
            <a:ln w="1">
              <a:solidFill>
                <a:prstClr val="green"/>
              </a:solidFill>
            </a:ln>
          </xdr:spPr>
          <xdr:txBody>
            <a:bodyPr vertOverflow="clip" horzOverflow="clip"/>
            <a:lstStyle/>
            <a:p>
              <a:r>
                <a:rPr lang="es-ES_tradnl"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01AC997-AF4F-A146-95D3-642EB36EE4BA}">
  <we:reference id="WA200010215" version="1.0.0.0" store="Omex" storeType="OMEX"/>
  <we:alternateReferences>
    <we:reference id="WA200010215" version="1.0.0.0" store="WA200010215" storeType="OMEX"/>
  </we:alternateReferences>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73"/>
  <sheetViews>
    <sheetView topLeftCell="F1" workbookViewId="0">
      <pane ySplit="1" topLeftCell="A2" activePane="bottomLeft" state="frozen"/>
      <selection pane="bottomLeft" activeCell="L2" sqref="L2"/>
    </sheetView>
  </sheetViews>
  <sheetFormatPr baseColWidth="10" defaultColWidth="8.83203125" defaultRowHeight="15" x14ac:dyDescent="0.2"/>
  <cols>
    <col min="1" max="1" width="22" customWidth="1"/>
    <col min="2" max="3" width="12" customWidth="1"/>
    <col min="4" max="4" width="20" customWidth="1"/>
    <col min="5" max="5" width="35" customWidth="1"/>
    <col min="6" max="6" width="22" customWidth="1"/>
    <col min="7" max="7" width="32" customWidth="1"/>
    <col min="8" max="8" width="19" customWidth="1"/>
    <col min="9" max="9" width="20" customWidth="1"/>
    <col min="10" max="11" width="19" customWidth="1"/>
  </cols>
  <sheetData>
    <row r="1" spans="1:12" ht="30" customHeight="1" x14ac:dyDescent="0.2">
      <c r="A1" s="1" t="s">
        <v>0</v>
      </c>
      <c r="B1" s="1" t="s">
        <v>1</v>
      </c>
      <c r="C1" s="1" t="s">
        <v>2</v>
      </c>
      <c r="D1" s="1" t="s">
        <v>3</v>
      </c>
      <c r="E1" s="1" t="s">
        <v>4</v>
      </c>
      <c r="F1" s="1" t="s">
        <v>5</v>
      </c>
      <c r="G1" s="1" t="s">
        <v>6</v>
      </c>
      <c r="H1" s="1" t="s">
        <v>7</v>
      </c>
      <c r="I1" s="1" t="s">
        <v>8</v>
      </c>
      <c r="J1" s="1" t="s">
        <v>9</v>
      </c>
      <c r="K1" s="1" t="s">
        <v>10</v>
      </c>
    </row>
    <row r="2" spans="1:12" x14ac:dyDescent="0.2">
      <c r="A2" s="2" t="s">
        <v>11</v>
      </c>
      <c r="B2" s="2" t="s">
        <v>12</v>
      </c>
      <c r="C2" s="3">
        <v>2000</v>
      </c>
      <c r="D2" s="3">
        <v>22281.381429995748</v>
      </c>
      <c r="E2" s="3">
        <v>-2.80386935919523E-2</v>
      </c>
      <c r="F2" s="3">
        <v>4.5803098678588903</v>
      </c>
      <c r="G2" s="3">
        <v>1062</v>
      </c>
      <c r="H2" s="4">
        <v>37213984</v>
      </c>
      <c r="I2" s="3">
        <v>0.43884000000000001</v>
      </c>
      <c r="J2" s="3">
        <v>22.62244477773428</v>
      </c>
      <c r="K2" s="3">
        <v>67.730349108734401</v>
      </c>
      <c r="L2" s="27"/>
    </row>
    <row r="3" spans="1:12" x14ac:dyDescent="0.2">
      <c r="A3" s="2" t="s">
        <v>11</v>
      </c>
      <c r="B3" s="2" t="s">
        <v>12</v>
      </c>
      <c r="C3" s="3">
        <v>2001</v>
      </c>
      <c r="D3" s="3">
        <v>21066.458129043251</v>
      </c>
      <c r="E3" s="2"/>
      <c r="F3" s="3">
        <v>4.833740234375</v>
      </c>
      <c r="G3" s="3">
        <v>691</v>
      </c>
      <c r="H3" s="4">
        <v>37624825</v>
      </c>
      <c r="I3" s="3">
        <v>0.42460999999999999</v>
      </c>
      <c r="J3" s="3">
        <v>21.852255451545279</v>
      </c>
      <c r="K3" s="3">
        <v>67.260308072319845</v>
      </c>
    </row>
    <row r="4" spans="1:12" x14ac:dyDescent="0.2">
      <c r="A4" s="2" t="s">
        <v>11</v>
      </c>
      <c r="B4" s="2" t="s">
        <v>12</v>
      </c>
      <c r="C4" s="3">
        <v>2002</v>
      </c>
      <c r="D4" s="3">
        <v>18571.702047127419</v>
      </c>
      <c r="E4" s="3">
        <v>-0.22847907245159099</v>
      </c>
      <c r="F4" s="3">
        <v>4.0173401832580602</v>
      </c>
      <c r="G4" s="3">
        <v>718</v>
      </c>
      <c r="H4" s="4">
        <v>38029349</v>
      </c>
      <c r="I4" s="3">
        <v>0.38885999999999998</v>
      </c>
      <c r="J4" s="3">
        <v>41.752724358564208</v>
      </c>
      <c r="K4" s="3">
        <v>67.008104029793728</v>
      </c>
    </row>
    <row r="5" spans="1:12" x14ac:dyDescent="0.2">
      <c r="A5" s="2" t="s">
        <v>11</v>
      </c>
      <c r="B5" s="2" t="s">
        <v>12</v>
      </c>
      <c r="C5" s="3">
        <v>2003</v>
      </c>
      <c r="D5" s="3">
        <v>20005.13851134646</v>
      </c>
      <c r="E5" s="3">
        <v>-3.4219983965158497E-2</v>
      </c>
      <c r="F5" s="3">
        <v>3.5350499153137198</v>
      </c>
      <c r="G5" s="3">
        <v>792</v>
      </c>
      <c r="H5" s="4">
        <v>38424282</v>
      </c>
      <c r="I5" s="3">
        <v>0.41012999999999999</v>
      </c>
      <c r="J5" s="3">
        <v>40.644748031108549</v>
      </c>
      <c r="K5" s="3">
        <v>68.162192182327473</v>
      </c>
    </row>
    <row r="6" spans="1:12" x14ac:dyDescent="0.2">
      <c r="A6" s="2" t="s">
        <v>11</v>
      </c>
      <c r="B6" s="2" t="s">
        <v>12</v>
      </c>
      <c r="C6" s="3">
        <v>2004</v>
      </c>
      <c r="D6" s="3">
        <v>21591.449396516979</v>
      </c>
      <c r="E6" s="3">
        <v>1.5197392553091001E-2</v>
      </c>
      <c r="F6" s="3">
        <v>3.4865200519561799</v>
      </c>
      <c r="G6" s="3">
        <v>786</v>
      </c>
      <c r="H6" s="4">
        <v>38815916</v>
      </c>
      <c r="I6" s="3">
        <v>0.40376000000000001</v>
      </c>
      <c r="J6" s="3">
        <v>40.692646108946953</v>
      </c>
      <c r="K6" s="3">
        <v>68.719853940667178</v>
      </c>
    </row>
    <row r="7" spans="1:12" x14ac:dyDescent="0.2">
      <c r="A7" s="2" t="s">
        <v>11</v>
      </c>
      <c r="B7" s="2" t="s">
        <v>12</v>
      </c>
      <c r="C7" s="3">
        <v>2005</v>
      </c>
      <c r="D7" s="3">
        <v>23262.407579281578</v>
      </c>
      <c r="E7" s="3">
        <v>-9.7979061305522905E-2</v>
      </c>
      <c r="F7" s="3">
        <v>3.8600099086761501</v>
      </c>
      <c r="G7" s="3">
        <v>1054</v>
      </c>
      <c r="H7" s="4">
        <v>39216789</v>
      </c>
      <c r="I7" s="3">
        <v>0.42074</v>
      </c>
      <c r="J7" s="3">
        <v>40.551270970623797</v>
      </c>
      <c r="K7" s="3">
        <v>69.553694690603521</v>
      </c>
    </row>
    <row r="8" spans="1:12" x14ac:dyDescent="0.2">
      <c r="A8" s="2" t="s">
        <v>11</v>
      </c>
      <c r="B8" s="2" t="s">
        <v>12</v>
      </c>
      <c r="C8" s="3">
        <v>2006</v>
      </c>
      <c r="D8" s="3">
        <v>24877.249392229551</v>
      </c>
      <c r="E8" s="3">
        <v>-3.3916309475898701E-2</v>
      </c>
      <c r="F8" s="3">
        <v>4.1282100677490199</v>
      </c>
      <c r="G8" s="3">
        <v>1020</v>
      </c>
      <c r="H8" s="4">
        <v>39622115</v>
      </c>
      <c r="I8" s="3">
        <v>0.45216000000000001</v>
      </c>
      <c r="J8" s="3">
        <v>40.433479871915118</v>
      </c>
      <c r="K8" s="3">
        <v>69.770265495289024</v>
      </c>
    </row>
    <row r="9" spans="1:12" x14ac:dyDescent="0.2">
      <c r="A9" s="2" t="s">
        <v>11</v>
      </c>
      <c r="B9" s="2" t="s">
        <v>12</v>
      </c>
      <c r="C9" s="3">
        <v>2007</v>
      </c>
      <c r="D9" s="3">
        <v>26850.66459327707</v>
      </c>
      <c r="E9" s="3">
        <v>-1.25325033441186E-2</v>
      </c>
      <c r="F9" s="3">
        <v>4.4626002311706499</v>
      </c>
      <c r="G9" s="3">
        <v>937</v>
      </c>
      <c r="H9" s="4">
        <v>40016763</v>
      </c>
      <c r="I9" s="3">
        <v>0.46006999999999998</v>
      </c>
      <c r="J9" s="3">
        <v>40.945170618570977</v>
      </c>
      <c r="K9" s="3">
        <v>69.827566545709189</v>
      </c>
    </row>
    <row r="10" spans="1:12" x14ac:dyDescent="0.2">
      <c r="A10" s="2" t="s">
        <v>11</v>
      </c>
      <c r="B10" s="2" t="s">
        <v>12</v>
      </c>
      <c r="C10" s="3">
        <v>2008</v>
      </c>
      <c r="D10" s="3">
        <v>27658.485344683129</v>
      </c>
      <c r="E10" s="3">
        <v>-0.12350934743881201</v>
      </c>
      <c r="F10" s="3">
        <v>4.8444099426269496</v>
      </c>
      <c r="G10" s="3">
        <v>801</v>
      </c>
      <c r="H10" s="4">
        <v>40424148</v>
      </c>
      <c r="I10" s="3">
        <v>0.47055000000000002</v>
      </c>
      <c r="J10" s="3">
        <v>40.402673379038227</v>
      </c>
      <c r="K10" s="3">
        <v>70.265185255920542</v>
      </c>
    </row>
    <row r="11" spans="1:12" x14ac:dyDescent="0.2">
      <c r="A11" s="2" t="s">
        <v>11</v>
      </c>
      <c r="B11" s="2" t="s">
        <v>12</v>
      </c>
      <c r="C11" s="3">
        <v>2009</v>
      </c>
      <c r="D11" s="3">
        <v>25747.19768099947</v>
      </c>
      <c r="E11" s="3">
        <v>-0.29403203725814803</v>
      </c>
      <c r="F11" s="3">
        <v>5.5310502052307102</v>
      </c>
      <c r="G11" s="3">
        <v>640</v>
      </c>
      <c r="H11" s="4">
        <v>40854831</v>
      </c>
      <c r="I11" s="3">
        <v>0.58398000000000005</v>
      </c>
      <c r="J11" s="3">
        <v>34.05712690548787</v>
      </c>
      <c r="K11" s="3">
        <v>70.998197097020622</v>
      </c>
    </row>
    <row r="12" spans="1:12" x14ac:dyDescent="0.2">
      <c r="A12" s="2" t="s">
        <v>11</v>
      </c>
      <c r="B12" s="2" t="s">
        <v>12</v>
      </c>
      <c r="C12" s="3">
        <v>2010</v>
      </c>
      <c r="D12" s="3">
        <v>28056.257021234182</v>
      </c>
      <c r="E12" s="3">
        <v>-0.11179194599389999</v>
      </c>
      <c r="F12" s="3">
        <v>5.0197100639343297</v>
      </c>
      <c r="G12" s="3">
        <v>552</v>
      </c>
      <c r="H12" s="4">
        <v>41288694</v>
      </c>
      <c r="I12" s="3">
        <v>0.56103999999999998</v>
      </c>
      <c r="J12" s="3">
        <v>34.971013263569567</v>
      </c>
      <c r="K12" s="3">
        <v>71.295015622612681</v>
      </c>
    </row>
    <row r="13" spans="1:12" x14ac:dyDescent="0.2">
      <c r="A13" s="2" t="s">
        <v>11</v>
      </c>
      <c r="B13" s="2" t="s">
        <v>12</v>
      </c>
      <c r="C13" s="3">
        <v>2011</v>
      </c>
      <c r="D13" s="3">
        <v>29425.759387608399</v>
      </c>
      <c r="E13" s="3">
        <v>-7.2361066937446594E-2</v>
      </c>
      <c r="F13" s="3">
        <v>5.2906298637390101</v>
      </c>
      <c r="G13" s="3">
        <v>688</v>
      </c>
      <c r="H13" s="4">
        <v>41730660</v>
      </c>
      <c r="I13" s="3">
        <v>0.56596999999999997</v>
      </c>
      <c r="J13" s="3">
        <v>35.206154999964362</v>
      </c>
      <c r="K13" s="3">
        <v>71.76453906926406</v>
      </c>
    </row>
    <row r="14" spans="1:12" x14ac:dyDescent="0.2">
      <c r="A14" s="2" t="s">
        <v>11</v>
      </c>
      <c r="B14" s="2" t="s">
        <v>12</v>
      </c>
      <c r="C14" s="3">
        <v>2012</v>
      </c>
      <c r="D14" s="3">
        <v>28825.966686536081</v>
      </c>
      <c r="E14" s="3">
        <v>-0.20696701109409299</v>
      </c>
      <c r="F14" s="3">
        <v>5.3458299636840803</v>
      </c>
      <c r="G14" s="3">
        <v>735</v>
      </c>
      <c r="H14" s="4">
        <v>42161721</v>
      </c>
      <c r="I14" s="3">
        <v>0.63490999999999997</v>
      </c>
      <c r="J14" s="3">
        <v>30.5265423717108</v>
      </c>
      <c r="K14" s="3">
        <v>72.383414419404133</v>
      </c>
    </row>
    <row r="15" spans="1:12" x14ac:dyDescent="0.2">
      <c r="A15" s="2" t="s">
        <v>11</v>
      </c>
      <c r="B15" s="2" t="s">
        <v>12</v>
      </c>
      <c r="C15" s="3">
        <v>2013</v>
      </c>
      <c r="D15" s="3">
        <v>29227.66018184373</v>
      </c>
      <c r="E15" s="3">
        <v>-0.25423696637153598</v>
      </c>
      <c r="F15" s="3">
        <v>5.4366102218627903</v>
      </c>
      <c r="G15" s="3">
        <v>643</v>
      </c>
      <c r="H15" s="4">
        <v>42582455</v>
      </c>
      <c r="I15" s="3">
        <v>0.61848999999999998</v>
      </c>
      <c r="J15" s="3">
        <v>29.333929002103709</v>
      </c>
      <c r="K15" s="3">
        <v>72.746863158899927</v>
      </c>
    </row>
    <row r="16" spans="1:12" x14ac:dyDescent="0.2">
      <c r="A16" s="2" t="s">
        <v>11</v>
      </c>
      <c r="B16" s="2" t="s">
        <v>12</v>
      </c>
      <c r="C16" s="3">
        <v>2014</v>
      </c>
      <c r="D16" s="3">
        <v>28200.815257131831</v>
      </c>
      <c r="E16" s="3">
        <v>-0.11111429333686799</v>
      </c>
      <c r="F16" s="3">
        <v>5.3614401817321804</v>
      </c>
      <c r="G16" s="3">
        <v>509</v>
      </c>
      <c r="H16" s="4">
        <v>43024071</v>
      </c>
      <c r="I16" s="3">
        <v>0.59396000000000004</v>
      </c>
      <c r="J16" s="3">
        <v>28.406793645227449</v>
      </c>
      <c r="K16" s="3">
        <v>73.184673344792472</v>
      </c>
    </row>
    <row r="17" spans="1:11" x14ac:dyDescent="0.2">
      <c r="A17" s="2" t="s">
        <v>11</v>
      </c>
      <c r="B17" s="2" t="s">
        <v>12</v>
      </c>
      <c r="C17" s="3">
        <v>2015</v>
      </c>
      <c r="D17" s="3">
        <v>28669.206133679611</v>
      </c>
      <c r="E17" s="3">
        <v>-4.9475610256195103E-2</v>
      </c>
      <c r="F17" s="3">
        <v>5.7761101722717303</v>
      </c>
      <c r="G17" s="3">
        <v>546</v>
      </c>
      <c r="H17" s="4">
        <v>43477012</v>
      </c>
      <c r="I17" s="3">
        <v>0.62261999999999995</v>
      </c>
      <c r="J17" s="3">
        <v>22.486226088979159</v>
      </c>
      <c r="K17" s="3">
        <v>74.123243742042291</v>
      </c>
    </row>
    <row r="18" spans="1:11" x14ac:dyDescent="0.2">
      <c r="A18" s="2" t="s">
        <v>11</v>
      </c>
      <c r="B18" s="2" t="s">
        <v>12</v>
      </c>
      <c r="C18" s="3">
        <v>2016</v>
      </c>
      <c r="D18" s="3">
        <v>27802.105720149761</v>
      </c>
      <c r="E18" s="3">
        <v>0.218796372413635</v>
      </c>
      <c r="F18" s="3">
        <v>5.5454897880554199</v>
      </c>
      <c r="G18" s="3">
        <v>884</v>
      </c>
      <c r="H18" s="4">
        <v>43900313</v>
      </c>
      <c r="I18" s="3">
        <v>0.55815000000000003</v>
      </c>
      <c r="J18" s="3">
        <v>26.093887848879859</v>
      </c>
      <c r="K18" s="3">
        <v>73.719916832187423</v>
      </c>
    </row>
    <row r="19" spans="1:11" x14ac:dyDescent="0.2">
      <c r="A19" s="2" t="s">
        <v>11</v>
      </c>
      <c r="B19" s="2" t="s">
        <v>12</v>
      </c>
      <c r="C19" s="3">
        <v>2017</v>
      </c>
      <c r="D19" s="3">
        <v>28334.904184742001</v>
      </c>
      <c r="E19" s="3">
        <v>0.13508561253547699</v>
      </c>
      <c r="F19" s="3">
        <v>5.4543199539184597</v>
      </c>
      <c r="G19" s="3">
        <v>393</v>
      </c>
      <c r="H19" s="4">
        <v>44288894</v>
      </c>
      <c r="I19" s="3">
        <v>0.55630999999999997</v>
      </c>
      <c r="J19" s="3">
        <v>25.28960113767786</v>
      </c>
      <c r="K19" s="3">
        <v>74.002908148714042</v>
      </c>
    </row>
    <row r="20" spans="1:11" x14ac:dyDescent="0.2">
      <c r="A20" s="2" t="s">
        <v>11</v>
      </c>
      <c r="B20" s="2" t="s">
        <v>12</v>
      </c>
      <c r="C20" s="3">
        <v>2018</v>
      </c>
      <c r="D20" s="3">
        <v>27367.11509410798</v>
      </c>
      <c r="E20" s="3">
        <v>2.8060618788003901E-2</v>
      </c>
      <c r="F20" s="3">
        <v>4.8777399063110396</v>
      </c>
      <c r="G20" s="3">
        <v>425</v>
      </c>
      <c r="H20" s="4">
        <v>44654882</v>
      </c>
      <c r="I20" s="3">
        <v>0.48830000000000001</v>
      </c>
      <c r="J20" s="3">
        <v>30.7625359549926</v>
      </c>
      <c r="K20" s="3">
        <v>74.009282104660045</v>
      </c>
    </row>
    <row r="21" spans="1:11" x14ac:dyDescent="0.2">
      <c r="A21" s="2" t="s">
        <v>11</v>
      </c>
      <c r="B21" s="2" t="s">
        <v>12</v>
      </c>
      <c r="C21" s="3">
        <v>2019</v>
      </c>
      <c r="D21" s="3">
        <v>26629.552941950049</v>
      </c>
      <c r="E21" s="3">
        <v>-0.12079533189535099</v>
      </c>
      <c r="F21" s="3">
        <v>4.7716498374939</v>
      </c>
      <c r="G21" s="3">
        <v>442</v>
      </c>
      <c r="H21" s="4">
        <v>44973465</v>
      </c>
      <c r="I21" s="3">
        <v>0.47813</v>
      </c>
      <c r="J21" s="3">
        <v>32.630615045849893</v>
      </c>
      <c r="K21" s="3">
        <v>73.694941163738235</v>
      </c>
    </row>
    <row r="22" spans="1:11" x14ac:dyDescent="0.2">
      <c r="A22" s="2" t="s">
        <v>11</v>
      </c>
      <c r="B22" s="2" t="s">
        <v>12</v>
      </c>
      <c r="C22" s="3">
        <v>2020</v>
      </c>
      <c r="D22" s="3">
        <v>23877.09314048554</v>
      </c>
      <c r="E22" s="3">
        <v>-0.25426182150840798</v>
      </c>
      <c r="F22" s="3">
        <v>5.2768998146057102</v>
      </c>
      <c r="G22" s="3">
        <v>930</v>
      </c>
      <c r="H22" s="4">
        <v>45191965</v>
      </c>
      <c r="I22" s="3">
        <v>0.54125999999999996</v>
      </c>
      <c r="J22" s="3">
        <v>30.203698807415961</v>
      </c>
      <c r="K22" s="3">
        <v>73.781214960529681</v>
      </c>
    </row>
    <row r="23" spans="1:11" x14ac:dyDescent="0.2">
      <c r="A23" s="2" t="s">
        <v>11</v>
      </c>
      <c r="B23" s="2" t="s">
        <v>12</v>
      </c>
      <c r="C23" s="3">
        <v>2021</v>
      </c>
      <c r="D23" s="3">
        <v>26300.27426117504</v>
      </c>
      <c r="E23" s="3">
        <v>-0.39055725932121299</v>
      </c>
      <c r="F23" s="3">
        <v>4.65393018722534</v>
      </c>
      <c r="G23" s="3">
        <v>406</v>
      </c>
      <c r="H23" s="4">
        <v>45312281</v>
      </c>
      <c r="I23" s="3">
        <v>0.52215999999999996</v>
      </c>
      <c r="J23" s="3">
        <v>33.078689567465993</v>
      </c>
      <c r="K23" s="3">
        <v>74.298191176470596</v>
      </c>
    </row>
    <row r="24" spans="1:11" x14ac:dyDescent="0.2">
      <c r="A24" s="2" t="s">
        <v>13</v>
      </c>
      <c r="B24" s="2" t="s">
        <v>14</v>
      </c>
      <c r="C24" s="3">
        <v>2000</v>
      </c>
      <c r="D24" s="3">
        <v>4589.0082503997692</v>
      </c>
      <c r="E24" s="3">
        <v>-0.54641759395599399</v>
      </c>
      <c r="F24" s="3">
        <v>2.7727301120758101</v>
      </c>
      <c r="G24" s="3">
        <v>119</v>
      </c>
      <c r="H24" s="4">
        <v>3221100</v>
      </c>
      <c r="I24" s="3">
        <v>0.19106000000000001</v>
      </c>
      <c r="J24" s="3">
        <v>72.233330227336651</v>
      </c>
      <c r="K24" s="3">
        <v>66.9159759672619</v>
      </c>
    </row>
    <row r="25" spans="1:11" x14ac:dyDescent="0.2">
      <c r="A25" s="2" t="s">
        <v>13</v>
      </c>
      <c r="B25" s="2" t="s">
        <v>14</v>
      </c>
      <c r="C25" s="3">
        <v>2001</v>
      </c>
      <c r="D25" s="3">
        <v>5044.1164782646783</v>
      </c>
      <c r="E25" s="2"/>
      <c r="F25" s="3">
        <v>2.4694399833679199</v>
      </c>
      <c r="G25" s="3">
        <v>140</v>
      </c>
      <c r="H25" s="4">
        <v>3211800</v>
      </c>
      <c r="I25" s="3">
        <v>0.27987000000000001</v>
      </c>
      <c r="J25" s="3">
        <v>69.864266392533636</v>
      </c>
      <c r="K25" s="3">
        <v>67.066377703373021</v>
      </c>
    </row>
    <row r="26" spans="1:11" x14ac:dyDescent="0.2">
      <c r="A26" s="2" t="s">
        <v>13</v>
      </c>
      <c r="B26" s="2" t="s">
        <v>14</v>
      </c>
      <c r="C26" s="3">
        <v>2002</v>
      </c>
      <c r="D26" s="3">
        <v>5731.3534660921268</v>
      </c>
      <c r="E26" s="3">
        <v>-4.5769266784191097E-2</v>
      </c>
      <c r="F26" s="3">
        <v>2.1350400447845499</v>
      </c>
      <c r="G26" s="3">
        <v>200</v>
      </c>
      <c r="H26" s="4">
        <v>3199800</v>
      </c>
      <c r="I26" s="3">
        <v>0.25255</v>
      </c>
      <c r="J26" s="3">
        <v>73.984501843230944</v>
      </c>
      <c r="K26" s="3">
        <v>67.686034126984126</v>
      </c>
    </row>
    <row r="27" spans="1:11" x14ac:dyDescent="0.2">
      <c r="A27" s="2" t="s">
        <v>13</v>
      </c>
      <c r="B27" s="2" t="s">
        <v>14</v>
      </c>
      <c r="C27" s="3">
        <v>2003</v>
      </c>
      <c r="D27" s="3">
        <v>6569.2602344063134</v>
      </c>
      <c r="E27" s="3">
        <v>-0.19725370407104501</v>
      </c>
      <c r="F27" s="3">
        <v>2.1450400352478001</v>
      </c>
      <c r="G27" s="3">
        <v>151</v>
      </c>
      <c r="H27" s="4">
        <v>3182500</v>
      </c>
      <c r="I27" s="3">
        <v>0.32108999999999999</v>
      </c>
      <c r="J27" s="3">
        <v>80.051367602242635</v>
      </c>
      <c r="K27" s="3">
        <v>68.358445312500024</v>
      </c>
    </row>
    <row r="28" spans="1:11" x14ac:dyDescent="0.2">
      <c r="A28" s="2" t="s">
        <v>13</v>
      </c>
      <c r="B28" s="2" t="s">
        <v>14</v>
      </c>
      <c r="C28" s="3">
        <v>2004</v>
      </c>
      <c r="D28" s="3">
        <v>7299.4000185886553</v>
      </c>
      <c r="E28" s="3">
        <v>-0.11826344579458201</v>
      </c>
      <c r="F28" s="3">
        <v>2.4867300987243599</v>
      </c>
      <c r="G28" s="2"/>
      <c r="H28" s="4">
        <v>3164900</v>
      </c>
      <c r="I28" s="3">
        <v>0.25658999999999998</v>
      </c>
      <c r="J28" s="3">
        <v>73.070633991937086</v>
      </c>
      <c r="K28" s="3">
        <v>67.792943229166667</v>
      </c>
    </row>
    <row r="29" spans="1:11" x14ac:dyDescent="0.2">
      <c r="A29" s="2" t="s">
        <v>13</v>
      </c>
      <c r="B29" s="2" t="s">
        <v>14</v>
      </c>
      <c r="C29" s="3">
        <v>2005</v>
      </c>
      <c r="D29" s="3">
        <v>8362.9008403711923</v>
      </c>
      <c r="E29" s="3">
        <v>-0.14249780774116499</v>
      </c>
      <c r="F29" s="3">
        <v>2.7120299339294398</v>
      </c>
      <c r="G29" s="3">
        <v>206</v>
      </c>
      <c r="H29" s="4">
        <v>3146400</v>
      </c>
      <c r="I29" s="3">
        <v>0.25761000000000001</v>
      </c>
      <c r="J29" s="3">
        <v>70.139738583533358</v>
      </c>
      <c r="K29" s="3">
        <v>68.583864831349203</v>
      </c>
    </row>
    <row r="30" spans="1:11" x14ac:dyDescent="0.2">
      <c r="A30" s="2" t="s">
        <v>13</v>
      </c>
      <c r="B30" s="2" t="s">
        <v>14</v>
      </c>
      <c r="C30" s="3">
        <v>2006</v>
      </c>
      <c r="D30" s="3">
        <v>9525.2314677977847</v>
      </c>
      <c r="E30" s="3">
        <v>-0.26150292158126798</v>
      </c>
      <c r="F30" s="3">
        <v>2.71577000617981</v>
      </c>
      <c r="G30" s="3">
        <v>192</v>
      </c>
      <c r="H30" s="4">
        <v>3127100</v>
      </c>
      <c r="I30" s="3">
        <v>0.24057000000000001</v>
      </c>
      <c r="J30" s="3">
        <v>61.030137981856569</v>
      </c>
      <c r="K30" s="3">
        <v>70.208828893849201</v>
      </c>
    </row>
    <row r="31" spans="1:11" x14ac:dyDescent="0.2">
      <c r="A31" s="2" t="s">
        <v>13</v>
      </c>
      <c r="B31" s="2" t="s">
        <v>14</v>
      </c>
      <c r="C31" s="3">
        <v>2007</v>
      </c>
      <c r="D31" s="3">
        <v>10898.84837956342</v>
      </c>
      <c r="E31" s="3">
        <v>-0.381906569004059</v>
      </c>
      <c r="F31" s="3">
        <v>3.0189399719238299</v>
      </c>
      <c r="G31" s="3">
        <v>135</v>
      </c>
      <c r="H31" s="4">
        <v>3107400</v>
      </c>
      <c r="I31" s="3">
        <v>0.21107000000000001</v>
      </c>
      <c r="J31" s="3">
        <v>56.975047085314714</v>
      </c>
      <c r="K31" s="3">
        <v>70.2605900297619</v>
      </c>
    </row>
    <row r="32" spans="1:11" x14ac:dyDescent="0.2">
      <c r="A32" s="2" t="s">
        <v>13</v>
      </c>
      <c r="B32" s="2" t="s">
        <v>14</v>
      </c>
      <c r="C32" s="3">
        <v>2008</v>
      </c>
      <c r="D32" s="3">
        <v>11727.482127294899</v>
      </c>
      <c r="E32" s="3">
        <v>-0.17795258760452301</v>
      </c>
      <c r="F32" s="3">
        <v>3.17272996902466</v>
      </c>
      <c r="G32" s="3">
        <v>226</v>
      </c>
      <c r="H32" s="4">
        <v>3087100</v>
      </c>
      <c r="I32" s="3">
        <v>0.22438</v>
      </c>
      <c r="J32" s="3">
        <v>54.542327961366588</v>
      </c>
      <c r="K32" s="3">
        <v>70.452180406746038</v>
      </c>
    </row>
    <row r="33" spans="1:11" x14ac:dyDescent="0.2">
      <c r="A33" s="2" t="s">
        <v>13</v>
      </c>
      <c r="B33" s="2" t="s">
        <v>14</v>
      </c>
      <c r="C33" s="3">
        <v>2009</v>
      </c>
      <c r="D33" s="3">
        <v>10143.23507968671</v>
      </c>
      <c r="E33" s="3">
        <v>-2.6895642280578599E-2</v>
      </c>
      <c r="F33" s="3">
        <v>3.8407900333404501</v>
      </c>
      <c r="G33" s="3">
        <v>116</v>
      </c>
      <c r="H33" s="4">
        <v>3066000</v>
      </c>
      <c r="I33" s="3">
        <v>0.29093000000000002</v>
      </c>
      <c r="J33" s="3">
        <v>57.274235744199473</v>
      </c>
      <c r="K33" s="3">
        <v>71.373590649801599</v>
      </c>
    </row>
    <row r="34" spans="1:11" x14ac:dyDescent="0.2">
      <c r="A34" s="2" t="s">
        <v>13</v>
      </c>
      <c r="B34" s="2" t="s">
        <v>14</v>
      </c>
      <c r="C34" s="3">
        <v>2010</v>
      </c>
      <c r="D34" s="3">
        <v>10438.564190416901</v>
      </c>
      <c r="E34" s="3">
        <v>-0.17152315378189101</v>
      </c>
      <c r="F34" s="3">
        <v>3.2490000724792498</v>
      </c>
      <c r="G34" s="3">
        <v>136</v>
      </c>
      <c r="H34" s="4">
        <v>3044800</v>
      </c>
      <c r="I34" s="3">
        <v>0.24138999999999999</v>
      </c>
      <c r="J34" s="3">
        <v>64.642975973632986</v>
      </c>
      <c r="K34" s="3">
        <v>71.32950255456349</v>
      </c>
    </row>
    <row r="35" spans="1:11" x14ac:dyDescent="0.2">
      <c r="A35" s="2" t="s">
        <v>13</v>
      </c>
      <c r="B35" s="2" t="s">
        <v>14</v>
      </c>
      <c r="C35" s="3">
        <v>2011</v>
      </c>
      <c r="D35" s="3">
        <v>10990.177099035011</v>
      </c>
      <c r="E35" s="3">
        <v>-0.11502830684185</v>
      </c>
      <c r="F35" s="3">
        <v>3.1438500881195099</v>
      </c>
      <c r="G35" s="3">
        <v>121</v>
      </c>
      <c r="H35" s="4">
        <v>3027900</v>
      </c>
      <c r="I35" s="3">
        <v>0.27013999999999999</v>
      </c>
      <c r="J35" s="3">
        <v>69.435573662045329</v>
      </c>
      <c r="K35" s="3">
        <v>71.945787450396821</v>
      </c>
    </row>
    <row r="36" spans="1:11" x14ac:dyDescent="0.2">
      <c r="A36" s="2" t="s">
        <v>13</v>
      </c>
      <c r="B36" s="2" t="s">
        <v>14</v>
      </c>
      <c r="C36" s="3">
        <v>2012</v>
      </c>
      <c r="D36" s="3">
        <v>11796.274117799439</v>
      </c>
      <c r="E36" s="3">
        <v>-3.2386623322963701E-2</v>
      </c>
      <c r="F36" s="3">
        <v>2.7724800109863299</v>
      </c>
      <c r="G36" s="3">
        <v>137</v>
      </c>
      <c r="H36" s="4">
        <v>3024100</v>
      </c>
      <c r="I36" s="3">
        <v>0.23852999999999999</v>
      </c>
      <c r="J36" s="3">
        <v>75.961675960670433</v>
      </c>
      <c r="K36" s="3">
        <v>71.732127852182543</v>
      </c>
    </row>
    <row r="37" spans="1:11" x14ac:dyDescent="0.2">
      <c r="A37" s="2" t="s">
        <v>13</v>
      </c>
      <c r="B37" s="2" t="s">
        <v>14</v>
      </c>
      <c r="C37" s="3">
        <v>2013</v>
      </c>
      <c r="D37" s="3">
        <v>12194.018952384289</v>
      </c>
      <c r="E37" s="3">
        <v>7.8317284584045396E-2</v>
      </c>
      <c r="F37" s="3">
        <v>2.6501801013946502</v>
      </c>
      <c r="G37" s="3">
        <v>125</v>
      </c>
      <c r="H37" s="4">
        <v>3022000</v>
      </c>
      <c r="I37" s="3">
        <v>0.22216</v>
      </c>
      <c r="J37" s="3">
        <v>77.555048159882418</v>
      </c>
      <c r="K37" s="3">
        <v>71.784416765873019</v>
      </c>
    </row>
    <row r="38" spans="1:11" x14ac:dyDescent="0.2">
      <c r="A38" s="2" t="s">
        <v>13</v>
      </c>
      <c r="B38" s="2" t="s">
        <v>14</v>
      </c>
      <c r="C38" s="3">
        <v>2014</v>
      </c>
      <c r="D38" s="3">
        <v>12667.375733024919</v>
      </c>
      <c r="E38" s="3">
        <v>-0.257329761981964</v>
      </c>
      <c r="F38" s="3">
        <v>2.2472400665283199</v>
      </c>
      <c r="G38" s="3">
        <v>121</v>
      </c>
      <c r="H38" s="4">
        <v>3013800</v>
      </c>
      <c r="I38" s="3">
        <v>0.24151</v>
      </c>
      <c r="J38" s="3">
        <v>75.778866962639043</v>
      </c>
      <c r="K38" s="3">
        <v>71.642056051587304</v>
      </c>
    </row>
    <row r="39" spans="1:11" x14ac:dyDescent="0.2">
      <c r="A39" s="2" t="s">
        <v>13</v>
      </c>
      <c r="B39" s="2" t="s">
        <v>14</v>
      </c>
      <c r="C39" s="3">
        <v>2015</v>
      </c>
      <c r="D39" s="3">
        <v>13112.760090291529</v>
      </c>
      <c r="E39" s="3">
        <v>-0.33178961277008101</v>
      </c>
      <c r="F39" s="3">
        <v>2.8059101104736301</v>
      </c>
      <c r="G39" s="3">
        <v>113</v>
      </c>
      <c r="H39" s="4">
        <v>3004600</v>
      </c>
      <c r="I39" s="3">
        <v>0.25002000000000002</v>
      </c>
      <c r="J39" s="3">
        <v>71.682074342757517</v>
      </c>
      <c r="K39" s="3">
        <v>71.841488194444452</v>
      </c>
    </row>
    <row r="40" spans="1:11" x14ac:dyDescent="0.2">
      <c r="A40" s="2" t="s">
        <v>13</v>
      </c>
      <c r="B40" s="2" t="s">
        <v>14</v>
      </c>
      <c r="C40" s="3">
        <v>2016</v>
      </c>
      <c r="D40" s="3">
        <v>13192.994073173129</v>
      </c>
      <c r="E40" s="3">
        <v>-0.31255441904067999</v>
      </c>
      <c r="F40" s="3">
        <v>2.7581200599670401</v>
      </c>
      <c r="G40" s="3">
        <v>125</v>
      </c>
      <c r="H40" s="4">
        <v>2992300</v>
      </c>
      <c r="I40" s="3">
        <v>0.23305000000000001</v>
      </c>
      <c r="J40" s="3">
        <v>76.077967459354781</v>
      </c>
      <c r="K40" s="3">
        <v>71.886707638888893</v>
      </c>
    </row>
    <row r="41" spans="1:11" x14ac:dyDescent="0.2">
      <c r="A41" s="2" t="s">
        <v>13</v>
      </c>
      <c r="B41" s="2" t="s">
        <v>14</v>
      </c>
      <c r="C41" s="3">
        <v>2017</v>
      </c>
      <c r="D41" s="3">
        <v>14243.874900379489</v>
      </c>
      <c r="E41" s="3">
        <v>-0.25155001878738398</v>
      </c>
      <c r="F41" s="3">
        <v>2.7075901031494101</v>
      </c>
      <c r="G41" s="3">
        <v>107</v>
      </c>
      <c r="H41" s="4">
        <v>2979400</v>
      </c>
      <c r="I41" s="3">
        <v>0.22788</v>
      </c>
      <c r="J41" s="3">
        <v>87.202376539836962</v>
      </c>
      <c r="K41" s="3">
        <v>71.837090873015867</v>
      </c>
    </row>
    <row r="42" spans="1:11" x14ac:dyDescent="0.2">
      <c r="A42" s="2" t="s">
        <v>13</v>
      </c>
      <c r="B42" s="2" t="s">
        <v>14</v>
      </c>
      <c r="C42" s="3">
        <v>2018</v>
      </c>
      <c r="D42" s="3">
        <v>15037.045242071201</v>
      </c>
      <c r="E42" s="3">
        <v>-0.17058266699314101</v>
      </c>
      <c r="F42" s="3">
        <v>2.1133118051228901</v>
      </c>
      <c r="G42" s="3">
        <v>101</v>
      </c>
      <c r="H42" s="4">
        <v>2969000</v>
      </c>
      <c r="I42" s="3">
        <v>0.18876000000000001</v>
      </c>
      <c r="J42" s="3">
        <v>92.473107021212044</v>
      </c>
      <c r="K42" s="3">
        <v>72.034925124007955</v>
      </c>
    </row>
    <row r="43" spans="1:11" x14ac:dyDescent="0.2">
      <c r="A43" s="2" t="s">
        <v>13</v>
      </c>
      <c r="B43" s="2" t="s">
        <v>14</v>
      </c>
      <c r="C43" s="3">
        <v>2019</v>
      </c>
      <c r="D43" s="3">
        <v>16215.360796509411</v>
      </c>
      <c r="E43" s="3">
        <v>-0.22604596614837599</v>
      </c>
      <c r="F43" s="3">
        <v>2.1598423983977102</v>
      </c>
      <c r="G43" s="3">
        <v>112</v>
      </c>
      <c r="H43" s="4">
        <v>2962500</v>
      </c>
      <c r="I43" s="3">
        <v>0.17854</v>
      </c>
      <c r="J43" s="3">
        <v>97.847004865326966</v>
      </c>
      <c r="K43" s="3">
        <v>73.123720932539683</v>
      </c>
    </row>
    <row r="44" spans="1:11" x14ac:dyDescent="0.2">
      <c r="A44" s="2" t="s">
        <v>13</v>
      </c>
      <c r="B44" s="2" t="s">
        <v>14</v>
      </c>
      <c r="C44" s="3">
        <v>2020</v>
      </c>
      <c r="D44" s="3">
        <v>15052.93597911361</v>
      </c>
      <c r="E44" s="3">
        <v>-0.304547429084778</v>
      </c>
      <c r="F44" s="3">
        <v>2.7055599689483598</v>
      </c>
      <c r="G44" s="3">
        <v>63</v>
      </c>
      <c r="H44" s="4">
        <v>2961500</v>
      </c>
      <c r="I44" s="3">
        <v>0.2092</v>
      </c>
      <c r="J44" s="3">
        <v>70.121357136878856</v>
      </c>
      <c r="K44" s="3">
        <v>74.729871081349216</v>
      </c>
    </row>
    <row r="45" spans="1:11" x14ac:dyDescent="0.2">
      <c r="A45" s="2" t="s">
        <v>13</v>
      </c>
      <c r="B45" s="2" t="s">
        <v>14</v>
      </c>
      <c r="C45" s="3">
        <v>2021</v>
      </c>
      <c r="D45" s="3">
        <v>15921.705281964019</v>
      </c>
      <c r="E45" s="3">
        <v>-0.282197445631027</v>
      </c>
      <c r="F45" s="3">
        <v>2.7678499221801798</v>
      </c>
      <c r="G45" s="3">
        <v>40</v>
      </c>
      <c r="H45" s="4">
        <v>2962300</v>
      </c>
      <c r="I45" s="3">
        <v>0.20557</v>
      </c>
      <c r="J45" s="3">
        <v>79.248905764711225</v>
      </c>
      <c r="K45" s="3">
        <v>73.909823511904762</v>
      </c>
    </row>
    <row r="46" spans="1:11" x14ac:dyDescent="0.2">
      <c r="A46" s="2" t="s">
        <v>15</v>
      </c>
      <c r="B46" s="2" t="s">
        <v>16</v>
      </c>
      <c r="C46" s="3">
        <v>2000</v>
      </c>
      <c r="D46" s="3">
        <v>53534.342105542237</v>
      </c>
      <c r="E46" s="3">
        <v>1.8472652435302701</v>
      </c>
      <c r="F46" s="3">
        <v>5.6203699111938503</v>
      </c>
      <c r="G46" s="3">
        <v>1961</v>
      </c>
      <c r="H46" s="4">
        <v>8011566</v>
      </c>
      <c r="I46" s="3">
        <v>1.88602</v>
      </c>
      <c r="J46" s="3">
        <v>85.842607733654873</v>
      </c>
      <c r="K46" s="3">
        <v>80.279802665737051</v>
      </c>
    </row>
    <row r="47" spans="1:11" x14ac:dyDescent="0.2">
      <c r="A47" s="2" t="s">
        <v>15</v>
      </c>
      <c r="B47" s="2" t="s">
        <v>16</v>
      </c>
      <c r="C47" s="3">
        <v>2001</v>
      </c>
      <c r="D47" s="3">
        <v>54032.151561271217</v>
      </c>
      <c r="E47" s="2"/>
      <c r="F47" s="3">
        <v>5.6047501564025897</v>
      </c>
      <c r="G47" s="3">
        <v>1815</v>
      </c>
      <c r="H47" s="4">
        <v>8042293</v>
      </c>
      <c r="I47" s="3">
        <v>1.9921</v>
      </c>
      <c r="J47" s="3">
        <v>87.996256718604712</v>
      </c>
      <c r="K47" s="3">
        <v>80.628764533903592</v>
      </c>
    </row>
    <row r="48" spans="1:11" x14ac:dyDescent="0.2">
      <c r="A48" s="2" t="s">
        <v>15</v>
      </c>
      <c r="B48" s="2" t="s">
        <v>16</v>
      </c>
      <c r="C48" s="3">
        <v>2002</v>
      </c>
      <c r="D48" s="3">
        <v>54565.076985128733</v>
      </c>
      <c r="E48" s="3">
        <v>1.8802281618118299</v>
      </c>
      <c r="F48" s="3">
        <v>5.5625500679016104</v>
      </c>
      <c r="G48" s="3">
        <v>1932</v>
      </c>
      <c r="H48" s="4">
        <v>8081957</v>
      </c>
      <c r="I48" s="3">
        <v>2.0659800000000001</v>
      </c>
      <c r="J48" s="3">
        <v>87.584493705461881</v>
      </c>
      <c r="K48" s="3">
        <v>80.588374187097628</v>
      </c>
    </row>
    <row r="49" spans="1:11" x14ac:dyDescent="0.2">
      <c r="A49" s="2" t="s">
        <v>15</v>
      </c>
      <c r="B49" s="2" t="s">
        <v>16</v>
      </c>
      <c r="C49" s="3">
        <v>2003</v>
      </c>
      <c r="D49" s="3">
        <v>54919.787251239613</v>
      </c>
      <c r="E49" s="3">
        <v>1.9304612874984699</v>
      </c>
      <c r="F49" s="3">
        <v>5.3925399780273402</v>
      </c>
      <c r="G49" s="3">
        <v>2120</v>
      </c>
      <c r="H49" s="4">
        <v>8121423</v>
      </c>
      <c r="I49" s="3">
        <v>2.17456</v>
      </c>
      <c r="J49" s="3">
        <v>86.882226322860774</v>
      </c>
      <c r="K49" s="3">
        <v>80.490876718247051</v>
      </c>
    </row>
    <row r="50" spans="1:11" x14ac:dyDescent="0.2">
      <c r="A50" s="2" t="s">
        <v>15</v>
      </c>
      <c r="B50" s="2" t="s">
        <v>16</v>
      </c>
      <c r="C50" s="3">
        <v>2004</v>
      </c>
      <c r="D50" s="3">
        <v>55980.231714601337</v>
      </c>
      <c r="E50" s="3">
        <v>1.8437706232070901</v>
      </c>
      <c r="F50" s="3">
        <v>5.3422498703002903</v>
      </c>
      <c r="G50" s="3">
        <v>2248</v>
      </c>
      <c r="H50" s="4">
        <v>8171966</v>
      </c>
      <c r="I50" s="3">
        <v>2.1661199999999998</v>
      </c>
      <c r="J50" s="3">
        <v>91.474220188000899</v>
      </c>
      <c r="K50" s="3">
        <v>80.815832760121822</v>
      </c>
    </row>
    <row r="51" spans="1:11" x14ac:dyDescent="0.2">
      <c r="A51" s="2" t="s">
        <v>15</v>
      </c>
      <c r="B51" s="2" t="s">
        <v>16</v>
      </c>
      <c r="C51" s="3">
        <v>2005</v>
      </c>
      <c r="D51" s="3">
        <v>56890.279443382919</v>
      </c>
      <c r="E51" s="3">
        <v>1.6795290708541899</v>
      </c>
      <c r="F51" s="3">
        <v>5.2851500511169398</v>
      </c>
      <c r="G51" s="3">
        <v>2270</v>
      </c>
      <c r="H51" s="4">
        <v>8227829</v>
      </c>
      <c r="I51" s="3">
        <v>2.37324</v>
      </c>
      <c r="J51" s="3">
        <v>94.674754782780496</v>
      </c>
      <c r="K51" s="3">
        <v>81.146731857378725</v>
      </c>
    </row>
    <row r="52" spans="1:11" x14ac:dyDescent="0.2">
      <c r="A52" s="2" t="s">
        <v>15</v>
      </c>
      <c r="B52" s="2" t="s">
        <v>16</v>
      </c>
      <c r="C52" s="3">
        <v>2006</v>
      </c>
      <c r="D52" s="3">
        <v>58460.237078247439</v>
      </c>
      <c r="E52" s="3">
        <v>1.8273851871490501</v>
      </c>
      <c r="F52" s="3">
        <v>5.2636799812316903</v>
      </c>
      <c r="G52" s="3">
        <v>2271</v>
      </c>
      <c r="H52" s="4">
        <v>8268641</v>
      </c>
      <c r="I52" s="3">
        <v>2.3592300000000002</v>
      </c>
      <c r="J52" s="3">
        <v>98.785725316124058</v>
      </c>
      <c r="K52" s="3">
        <v>81.066456077602936</v>
      </c>
    </row>
    <row r="53" spans="1:11" x14ac:dyDescent="0.2">
      <c r="A53" s="2" t="s">
        <v>15</v>
      </c>
      <c r="B53" s="2" t="s">
        <v>16</v>
      </c>
      <c r="C53" s="3">
        <v>2007</v>
      </c>
      <c r="D53" s="3">
        <v>60470.909990671447</v>
      </c>
      <c r="E53" s="3">
        <v>1.8635659217834499</v>
      </c>
      <c r="F53" s="3">
        <v>5.1791801452636701</v>
      </c>
      <c r="G53" s="3">
        <v>2385</v>
      </c>
      <c r="H53" s="4">
        <v>8295487</v>
      </c>
      <c r="I53" s="3">
        <v>2.4184299999999999</v>
      </c>
      <c r="J53" s="3">
        <v>101.36495843546049</v>
      </c>
      <c r="K53" s="3">
        <v>81.182494349400599</v>
      </c>
    </row>
    <row r="54" spans="1:11" x14ac:dyDescent="0.2">
      <c r="A54" s="2" t="s">
        <v>15</v>
      </c>
      <c r="B54" s="2" t="s">
        <v>16</v>
      </c>
      <c r="C54" s="3">
        <v>2008</v>
      </c>
      <c r="D54" s="3">
        <v>61157.987310568402</v>
      </c>
      <c r="E54" s="3">
        <v>1.7716581821441699</v>
      </c>
      <c r="F54" s="3">
        <v>5.2985100746154803</v>
      </c>
      <c r="G54" s="3">
        <v>2298</v>
      </c>
      <c r="H54" s="4">
        <v>8321496</v>
      </c>
      <c r="I54" s="3">
        <v>2.5694499999999998</v>
      </c>
      <c r="J54" s="3">
        <v>102.7437043613002</v>
      </c>
      <c r="K54" s="3">
        <v>81.702184215090483</v>
      </c>
    </row>
    <row r="55" spans="1:11" x14ac:dyDescent="0.2">
      <c r="A55" s="2" t="s">
        <v>15</v>
      </c>
      <c r="B55" s="2" t="s">
        <v>16</v>
      </c>
      <c r="C55" s="3">
        <v>2009</v>
      </c>
      <c r="D55" s="3">
        <v>58810.442202087172</v>
      </c>
      <c r="E55" s="3">
        <v>1.6627392768859901</v>
      </c>
      <c r="F55" s="3">
        <v>5.7656798362731898</v>
      </c>
      <c r="G55" s="3">
        <v>2263</v>
      </c>
      <c r="H55" s="4">
        <v>8343323</v>
      </c>
      <c r="I55" s="3">
        <v>2.59674</v>
      </c>
      <c r="J55" s="3">
        <v>87.600493102195344</v>
      </c>
      <c r="K55" s="3">
        <v>82.040551805659618</v>
      </c>
    </row>
    <row r="56" spans="1:11" x14ac:dyDescent="0.2">
      <c r="A56" s="2" t="s">
        <v>15</v>
      </c>
      <c r="B56" s="2" t="s">
        <v>16</v>
      </c>
      <c r="C56" s="3">
        <v>2010</v>
      </c>
      <c r="D56" s="3">
        <v>59730.551200563517</v>
      </c>
      <c r="E56" s="3">
        <v>1.81252110004425</v>
      </c>
      <c r="F56" s="3">
        <v>5.7362599372863796</v>
      </c>
      <c r="G56" s="3">
        <v>2424</v>
      </c>
      <c r="H56" s="4">
        <v>8363404</v>
      </c>
      <c r="I56" s="3">
        <v>2.7261000000000002</v>
      </c>
      <c r="J56" s="3">
        <v>99.644882554671554</v>
      </c>
      <c r="K56" s="3">
        <v>82.076855363386613</v>
      </c>
    </row>
    <row r="57" spans="1:11" x14ac:dyDescent="0.2">
      <c r="A57" s="2" t="s">
        <v>15</v>
      </c>
      <c r="B57" s="2" t="s">
        <v>16</v>
      </c>
      <c r="C57" s="3">
        <v>2011</v>
      </c>
      <c r="D57" s="3">
        <v>61272.25843977747</v>
      </c>
      <c r="E57" s="3">
        <v>1.6028852462768599</v>
      </c>
      <c r="F57" s="3">
        <v>5.6278700828552202</v>
      </c>
      <c r="G57" s="3">
        <v>2154</v>
      </c>
      <c r="H57" s="4">
        <v>8391643</v>
      </c>
      <c r="I57" s="3">
        <v>2.6686800000000002</v>
      </c>
      <c r="J57" s="3">
        <v>105.7750983723779</v>
      </c>
      <c r="K57" s="3">
        <v>82.33904352765289</v>
      </c>
    </row>
    <row r="58" spans="1:11" x14ac:dyDescent="0.2">
      <c r="A58" s="2" t="s">
        <v>15</v>
      </c>
      <c r="B58" s="2" t="s">
        <v>16</v>
      </c>
      <c r="C58" s="3">
        <v>2012</v>
      </c>
      <c r="D58" s="3">
        <v>61376.720713105417</v>
      </c>
      <c r="E58" s="3">
        <v>1.5601897239685101</v>
      </c>
      <c r="F58" s="3">
        <v>5.5161199569702104</v>
      </c>
      <c r="G58" s="3">
        <v>2258</v>
      </c>
      <c r="H58" s="4">
        <v>8429991</v>
      </c>
      <c r="I58" s="3">
        <v>2.91472</v>
      </c>
      <c r="J58" s="3">
        <v>105.8407913897057</v>
      </c>
      <c r="K58" s="3">
        <v>82.933433538163229</v>
      </c>
    </row>
    <row r="59" spans="1:11" x14ac:dyDescent="0.2">
      <c r="A59" s="2" t="s">
        <v>15</v>
      </c>
      <c r="B59" s="2" t="s">
        <v>16</v>
      </c>
      <c r="C59" s="3">
        <v>2013</v>
      </c>
      <c r="D59" s="3">
        <v>60863.054766696507</v>
      </c>
      <c r="E59" s="3">
        <v>1.5713795423507699</v>
      </c>
      <c r="F59" s="3">
        <v>5.5940599441528303</v>
      </c>
      <c r="G59" s="3">
        <v>2162</v>
      </c>
      <c r="H59" s="4">
        <v>8479823</v>
      </c>
      <c r="I59" s="3">
        <v>2.95492</v>
      </c>
      <c r="J59" s="3">
        <v>104.9853740153673</v>
      </c>
      <c r="K59" s="3">
        <v>82.972415063755676</v>
      </c>
    </row>
    <row r="60" spans="1:11" x14ac:dyDescent="0.2">
      <c r="A60" s="2" t="s">
        <v>15</v>
      </c>
      <c r="B60" s="2" t="s">
        <v>16</v>
      </c>
      <c r="C60" s="3">
        <v>2014</v>
      </c>
      <c r="D60" s="3">
        <v>60845.659772981468</v>
      </c>
      <c r="E60" s="3">
        <v>1.5529956817627</v>
      </c>
      <c r="F60" s="3">
        <v>5.4976601600646999</v>
      </c>
      <c r="G60" s="3">
        <v>2092</v>
      </c>
      <c r="H60" s="4">
        <v>8546356</v>
      </c>
      <c r="I60" s="3">
        <v>3.0842900000000002</v>
      </c>
      <c r="J60" s="3">
        <v>104.49673998926001</v>
      </c>
      <c r="K60" s="3">
        <v>83.587305782412059</v>
      </c>
    </row>
    <row r="61" spans="1:11" x14ac:dyDescent="0.2">
      <c r="A61" s="2" t="s">
        <v>15</v>
      </c>
      <c r="B61" s="2" t="s">
        <v>16</v>
      </c>
      <c r="C61" s="3">
        <v>2015</v>
      </c>
      <c r="D61" s="3">
        <v>60951.68925105068</v>
      </c>
      <c r="E61" s="3">
        <v>1.4509791135787999</v>
      </c>
      <c r="F61" s="3">
        <v>5.4914498329162598</v>
      </c>
      <c r="G61" s="3">
        <v>2205</v>
      </c>
      <c r="H61" s="4">
        <v>8642699</v>
      </c>
      <c r="I61" s="3">
        <v>3.04969</v>
      </c>
      <c r="J61" s="3">
        <v>103.11758174626</v>
      </c>
      <c r="K61" s="3">
        <v>83.537479295183999</v>
      </c>
    </row>
    <row r="62" spans="1:11" x14ac:dyDescent="0.2">
      <c r="A62" s="2" t="s">
        <v>15</v>
      </c>
      <c r="B62" s="2" t="s">
        <v>16</v>
      </c>
      <c r="C62" s="3">
        <v>2016</v>
      </c>
      <c r="D62" s="3">
        <v>61572.712135306268</v>
      </c>
      <c r="E62" s="3">
        <v>1.4748106002807599</v>
      </c>
      <c r="F62" s="3">
        <v>5.5095400810241699</v>
      </c>
      <c r="G62" s="3">
        <v>2078</v>
      </c>
      <c r="H62" s="4">
        <v>8736668</v>
      </c>
      <c r="I62" s="3">
        <v>3.1165500000000002</v>
      </c>
      <c r="J62" s="3">
        <v>101.5734945971722</v>
      </c>
      <c r="K62" s="3">
        <v>83.69320283206379</v>
      </c>
    </row>
    <row r="63" spans="1:11" x14ac:dyDescent="0.2">
      <c r="A63" s="2" t="s">
        <v>15</v>
      </c>
      <c r="B63" s="2" t="s">
        <v>16</v>
      </c>
      <c r="C63" s="3">
        <v>2017</v>
      </c>
      <c r="D63" s="3">
        <v>62535.898317684281</v>
      </c>
      <c r="E63" s="3">
        <v>1.46775150299072</v>
      </c>
      <c r="F63" s="3">
        <v>5.4018101692199698</v>
      </c>
      <c r="G63" s="3">
        <v>2073</v>
      </c>
      <c r="H63" s="4">
        <v>8797566</v>
      </c>
      <c r="I63" s="3">
        <v>3.0565600000000002</v>
      </c>
      <c r="J63" s="3">
        <v>105.5560667554377</v>
      </c>
      <c r="K63" s="3">
        <v>83.931151124916738</v>
      </c>
    </row>
    <row r="64" spans="1:11" x14ac:dyDescent="0.2">
      <c r="A64" s="2" t="s">
        <v>15</v>
      </c>
      <c r="B64" s="2" t="s">
        <v>16</v>
      </c>
      <c r="C64" s="3">
        <v>2018</v>
      </c>
      <c r="D64" s="3">
        <v>63778.025705174638</v>
      </c>
      <c r="E64" s="3">
        <v>1.45611667633057</v>
      </c>
      <c r="F64" s="3">
        <v>5.2543702125549299</v>
      </c>
      <c r="G64" s="3">
        <v>2039</v>
      </c>
      <c r="H64" s="4">
        <v>8840521</v>
      </c>
      <c r="I64" s="3">
        <v>3.0918199999999998</v>
      </c>
      <c r="J64" s="3">
        <v>108.37796997182799</v>
      </c>
      <c r="K64" s="3">
        <v>83.938269695061877</v>
      </c>
    </row>
    <row r="65" spans="1:11" x14ac:dyDescent="0.2">
      <c r="A65" s="2" t="s">
        <v>15</v>
      </c>
      <c r="B65" s="2" t="s">
        <v>16</v>
      </c>
      <c r="C65" s="3">
        <v>2019</v>
      </c>
      <c r="D65" s="3">
        <v>64609.374295614027</v>
      </c>
      <c r="E65" s="3">
        <v>1.49212622642517</v>
      </c>
      <c r="F65" s="3">
        <v>5.2367801666259801</v>
      </c>
      <c r="G65" s="3">
        <v>2066</v>
      </c>
      <c r="H65" s="4">
        <v>8879920</v>
      </c>
      <c r="I65" s="3">
        <v>3.1326499999999999</v>
      </c>
      <c r="J65" s="3">
        <v>108.20728490442561</v>
      </c>
      <c r="K65" s="3">
        <v>84.365834160284166</v>
      </c>
    </row>
    <row r="66" spans="1:11" x14ac:dyDescent="0.2">
      <c r="A66" s="2" t="s">
        <v>15</v>
      </c>
      <c r="B66" s="2" t="s">
        <v>16</v>
      </c>
      <c r="C66" s="3">
        <v>2020</v>
      </c>
      <c r="D66" s="3">
        <v>60276.415345914058</v>
      </c>
      <c r="E66" s="3">
        <v>1.60586321353912</v>
      </c>
      <c r="F66" s="3">
        <v>5.5796198844909703</v>
      </c>
      <c r="G66" s="3">
        <v>2124</v>
      </c>
      <c r="H66" s="4">
        <v>8916864</v>
      </c>
      <c r="I66" s="3">
        <v>3.2027800000000002</v>
      </c>
      <c r="J66" s="3">
        <v>99.948214109597515</v>
      </c>
      <c r="K66" s="3">
        <v>84.779876697954833</v>
      </c>
    </row>
    <row r="67" spans="1:11" x14ac:dyDescent="0.2">
      <c r="A67" s="2" t="s">
        <v>15</v>
      </c>
      <c r="B67" s="2" t="s">
        <v>16</v>
      </c>
      <c r="C67" s="3">
        <v>2021</v>
      </c>
      <c r="D67" s="3">
        <v>62968.942231189198</v>
      </c>
      <c r="E67" s="3">
        <v>1.5282946825027499</v>
      </c>
      <c r="F67" s="3">
        <v>5.4807100296020499</v>
      </c>
      <c r="G67" s="3">
        <v>1872</v>
      </c>
      <c r="H67" s="4">
        <v>8955797</v>
      </c>
      <c r="I67" s="3">
        <v>3.2636099999999999</v>
      </c>
      <c r="J67" s="3">
        <v>111.0329321241646</v>
      </c>
      <c r="K67" s="3">
        <v>84.331370770375457</v>
      </c>
    </row>
    <row r="68" spans="1:11" x14ac:dyDescent="0.2">
      <c r="A68" s="2" t="s">
        <v>17</v>
      </c>
      <c r="B68" s="2" t="s">
        <v>18</v>
      </c>
      <c r="C68" s="3">
        <v>2000</v>
      </c>
      <c r="D68" s="3">
        <v>5656.9298937868698</v>
      </c>
      <c r="E68" s="3">
        <v>-0.95139521360397294</v>
      </c>
      <c r="F68" s="3">
        <v>3.8539900779724099</v>
      </c>
      <c r="G68" s="2"/>
      <c r="H68" s="4">
        <v>8048600</v>
      </c>
      <c r="I68" s="3">
        <v>0.33600000000000002</v>
      </c>
      <c r="J68" s="3">
        <v>78.548568279604083</v>
      </c>
      <c r="K68" s="3">
        <v>60.025030729166673</v>
      </c>
    </row>
    <row r="69" spans="1:11" x14ac:dyDescent="0.2">
      <c r="A69" s="2" t="s">
        <v>17</v>
      </c>
      <c r="B69" s="2" t="s">
        <v>18</v>
      </c>
      <c r="C69" s="3">
        <v>2001</v>
      </c>
      <c r="D69" s="3">
        <v>6168.9851205974892</v>
      </c>
      <c r="E69" s="2"/>
      <c r="F69" s="3">
        <v>3.5034201145172101</v>
      </c>
      <c r="G69" s="3">
        <v>203</v>
      </c>
      <c r="H69" s="4">
        <v>8111200</v>
      </c>
      <c r="I69" s="3">
        <v>0.34000999999999998</v>
      </c>
      <c r="J69" s="3">
        <v>78.815185491760104</v>
      </c>
      <c r="K69" s="3">
        <v>61.397984449404753</v>
      </c>
    </row>
    <row r="70" spans="1:11" x14ac:dyDescent="0.2">
      <c r="A70" s="2" t="s">
        <v>17</v>
      </c>
      <c r="B70" s="2" t="s">
        <v>18</v>
      </c>
      <c r="C70" s="3">
        <v>2002</v>
      </c>
      <c r="D70" s="3">
        <v>6701.0817444420672</v>
      </c>
      <c r="E70" s="3">
        <v>-0.98520863056182895</v>
      </c>
      <c r="F70" s="3">
        <v>3.1544599533081099</v>
      </c>
      <c r="G70" s="3">
        <v>234</v>
      </c>
      <c r="H70" s="4">
        <v>8171950</v>
      </c>
      <c r="I70" s="3">
        <v>0.30154999999999998</v>
      </c>
      <c r="J70" s="3">
        <v>92.81814432989691</v>
      </c>
      <c r="K70" s="3">
        <v>66.411071279761885</v>
      </c>
    </row>
    <row r="71" spans="1:11" x14ac:dyDescent="0.2">
      <c r="A71" s="2" t="s">
        <v>17</v>
      </c>
      <c r="B71" s="2" t="s">
        <v>18</v>
      </c>
      <c r="C71" s="3">
        <v>2003</v>
      </c>
      <c r="D71" s="3">
        <v>7329.4060181894329</v>
      </c>
      <c r="E71" s="3">
        <v>-0.93322896957397505</v>
      </c>
      <c r="F71" s="3">
        <v>3.28614997863769</v>
      </c>
      <c r="G71" s="3">
        <v>246</v>
      </c>
      <c r="H71" s="4">
        <v>8234100</v>
      </c>
      <c r="I71" s="3">
        <v>0.32496000000000003</v>
      </c>
      <c r="J71" s="3">
        <v>107.55194850626179</v>
      </c>
      <c r="K71" s="3">
        <v>66.484462648809526</v>
      </c>
    </row>
    <row r="72" spans="1:11" x14ac:dyDescent="0.2">
      <c r="A72" s="2" t="s">
        <v>17</v>
      </c>
      <c r="B72" s="2" t="s">
        <v>18</v>
      </c>
      <c r="C72" s="3">
        <v>2004</v>
      </c>
      <c r="D72" s="3">
        <v>7937.8594791001997</v>
      </c>
      <c r="E72" s="3">
        <v>-0.93377250432968095</v>
      </c>
      <c r="F72" s="3">
        <v>3.4477000236511199</v>
      </c>
      <c r="G72" s="3">
        <v>270</v>
      </c>
      <c r="H72" s="4">
        <v>8306500</v>
      </c>
      <c r="I72" s="3">
        <v>0.29831000000000002</v>
      </c>
      <c r="J72" s="3">
        <v>121.5071158941174</v>
      </c>
      <c r="K72" s="3">
        <v>67.050111755952372</v>
      </c>
    </row>
    <row r="73" spans="1:11" x14ac:dyDescent="0.2">
      <c r="A73" s="2" t="s">
        <v>17</v>
      </c>
      <c r="B73" s="2" t="s">
        <v>18</v>
      </c>
      <c r="C73" s="3">
        <v>2005</v>
      </c>
      <c r="D73" s="3">
        <v>10054.10033894009</v>
      </c>
      <c r="E73" s="3">
        <v>-0.74180871248245195</v>
      </c>
      <c r="F73" s="3">
        <v>2.97462010383606</v>
      </c>
      <c r="G73" s="3">
        <v>281</v>
      </c>
      <c r="H73" s="4">
        <v>8391850</v>
      </c>
      <c r="I73" s="3">
        <v>0.21994</v>
      </c>
      <c r="J73" s="3">
        <v>115.84188460770611</v>
      </c>
      <c r="K73" s="3">
        <v>67.102314136904766</v>
      </c>
    </row>
    <row r="74" spans="1:11" x14ac:dyDescent="0.2">
      <c r="A74" s="2" t="s">
        <v>17</v>
      </c>
      <c r="B74" s="2" t="s">
        <v>18</v>
      </c>
      <c r="C74" s="3">
        <v>2006</v>
      </c>
      <c r="D74" s="3">
        <v>13371.658521453441</v>
      </c>
      <c r="E74" s="3">
        <v>-0.67118924856185902</v>
      </c>
      <c r="F74" s="3">
        <v>2.55552005767822</v>
      </c>
      <c r="G74" s="3">
        <v>246</v>
      </c>
      <c r="H74" s="4">
        <v>8484550</v>
      </c>
      <c r="I74" s="3">
        <v>0.17165</v>
      </c>
      <c r="J74" s="3">
        <v>105.26239984636889</v>
      </c>
      <c r="K74" s="3">
        <v>67.222397098214287</v>
      </c>
    </row>
    <row r="75" spans="1:11" x14ac:dyDescent="0.2">
      <c r="A75" s="2" t="s">
        <v>17</v>
      </c>
      <c r="B75" s="2" t="s">
        <v>18</v>
      </c>
      <c r="C75" s="3">
        <v>2007</v>
      </c>
      <c r="D75" s="3">
        <v>16587.365724022809</v>
      </c>
      <c r="E75" s="3">
        <v>-0.80222564935684204</v>
      </c>
      <c r="F75" s="3">
        <v>2.5492799282074001</v>
      </c>
      <c r="G75" s="3">
        <v>287</v>
      </c>
      <c r="H75" s="4">
        <v>8581300</v>
      </c>
      <c r="I75" s="3">
        <v>0.17005999999999999</v>
      </c>
      <c r="J75" s="3">
        <v>96.641808148657461</v>
      </c>
      <c r="K75" s="3">
        <v>67.531310714285709</v>
      </c>
    </row>
    <row r="76" spans="1:11" x14ac:dyDescent="0.2">
      <c r="A76" s="2" t="s">
        <v>17</v>
      </c>
      <c r="B76" s="2" t="s">
        <v>18</v>
      </c>
      <c r="C76" s="3">
        <v>2008</v>
      </c>
      <c r="D76" s="3">
        <v>17963.020812683841</v>
      </c>
      <c r="E76" s="3">
        <v>-0.78587728738784801</v>
      </c>
      <c r="F76" s="3">
        <v>2.44092988967896</v>
      </c>
      <c r="G76" s="3">
        <v>226</v>
      </c>
      <c r="H76" s="4">
        <v>8763400</v>
      </c>
      <c r="I76" s="3">
        <v>0.16553999999999999</v>
      </c>
      <c r="J76" s="3">
        <v>89.242896863757309</v>
      </c>
      <c r="K76" s="3">
        <v>67.59351904761904</v>
      </c>
    </row>
    <row r="77" spans="1:11" x14ac:dyDescent="0.2">
      <c r="A77" s="2" t="s">
        <v>17</v>
      </c>
      <c r="B77" s="2" t="s">
        <v>18</v>
      </c>
      <c r="C77" s="3">
        <v>2009</v>
      </c>
      <c r="D77" s="3">
        <v>19242.390007723119</v>
      </c>
      <c r="E77" s="3">
        <v>-0.66451507806777999</v>
      </c>
      <c r="F77" s="3">
        <v>3.2243099212646502</v>
      </c>
      <c r="G77" s="3">
        <v>264</v>
      </c>
      <c r="H77" s="4">
        <v>8947243</v>
      </c>
      <c r="I77" s="3">
        <v>0.24976000000000001</v>
      </c>
      <c r="J77" s="3">
        <v>74.744041683636937</v>
      </c>
      <c r="K77" s="3">
        <v>68.290342708333327</v>
      </c>
    </row>
    <row r="78" spans="1:11" x14ac:dyDescent="0.2">
      <c r="A78" s="2" t="s">
        <v>17</v>
      </c>
      <c r="B78" s="2" t="s">
        <v>18</v>
      </c>
      <c r="C78" s="3">
        <v>2010</v>
      </c>
      <c r="D78" s="3">
        <v>19925.390066213749</v>
      </c>
      <c r="E78" s="3">
        <v>-0.81301712989807096</v>
      </c>
      <c r="F78" s="3">
        <v>2.7806200981140101</v>
      </c>
      <c r="G78" s="3">
        <v>254</v>
      </c>
      <c r="H78" s="4">
        <v>9054332</v>
      </c>
      <c r="I78" s="3">
        <v>0.21848000000000001</v>
      </c>
      <c r="J78" s="3">
        <v>74.985988461085597</v>
      </c>
      <c r="K78" s="3">
        <v>68.690568898809531</v>
      </c>
    </row>
    <row r="79" spans="1:11" x14ac:dyDescent="0.2">
      <c r="A79" s="2" t="s">
        <v>17</v>
      </c>
      <c r="B79" s="2" t="s">
        <v>18</v>
      </c>
      <c r="C79" s="3">
        <v>2011</v>
      </c>
      <c r="D79" s="3">
        <v>19358.07781003448</v>
      </c>
      <c r="E79" s="3">
        <v>-0.77240371704101596</v>
      </c>
      <c r="F79" s="3">
        <v>2.43564009666443</v>
      </c>
      <c r="G79" s="3">
        <v>193</v>
      </c>
      <c r="H79" s="4">
        <v>9173082</v>
      </c>
      <c r="I79" s="3">
        <v>0.21084</v>
      </c>
      <c r="J79" s="3">
        <v>80.508045005952155</v>
      </c>
      <c r="K79" s="3">
        <v>69.150917336309519</v>
      </c>
    </row>
    <row r="80" spans="1:11" x14ac:dyDescent="0.2">
      <c r="A80" s="2" t="s">
        <v>17</v>
      </c>
      <c r="B80" s="2" t="s">
        <v>18</v>
      </c>
      <c r="C80" s="3">
        <v>2012</v>
      </c>
      <c r="D80" s="3">
        <v>19523.37371613564</v>
      </c>
      <c r="E80" s="3">
        <v>-0.79076343774795499</v>
      </c>
      <c r="F80" s="3">
        <v>2.0676300525665301</v>
      </c>
      <c r="G80" s="3">
        <v>144</v>
      </c>
      <c r="H80" s="4">
        <v>9295784</v>
      </c>
      <c r="I80" s="3">
        <v>0.21426999999999999</v>
      </c>
      <c r="J80" s="3">
        <v>78.263069540422009</v>
      </c>
      <c r="K80" s="3">
        <v>69.710432589285702</v>
      </c>
    </row>
    <row r="81" spans="1:11" x14ac:dyDescent="0.2">
      <c r="A81" s="2" t="s">
        <v>17</v>
      </c>
      <c r="B81" s="2" t="s">
        <v>18</v>
      </c>
      <c r="C81" s="3">
        <v>2013</v>
      </c>
      <c r="D81" s="3">
        <v>20398.6462250349</v>
      </c>
      <c r="E81" s="3">
        <v>-0.45217838883400002</v>
      </c>
      <c r="F81" s="3">
        <v>2.4421300888061501</v>
      </c>
      <c r="G81" s="3">
        <v>156</v>
      </c>
      <c r="H81" s="4">
        <v>9416801</v>
      </c>
      <c r="I81" s="3">
        <v>0.20968999999999999</v>
      </c>
      <c r="J81" s="3">
        <v>74.675844762985108</v>
      </c>
      <c r="K81" s="3">
        <v>70.224507440476202</v>
      </c>
    </row>
    <row r="82" spans="1:11" x14ac:dyDescent="0.2">
      <c r="A82" s="2" t="s">
        <v>17</v>
      </c>
      <c r="B82" s="2" t="s">
        <v>18</v>
      </c>
      <c r="C82" s="3">
        <v>2014</v>
      </c>
      <c r="D82" s="3">
        <v>20709.201611232042</v>
      </c>
      <c r="E82" s="3">
        <v>-0.313590198755264</v>
      </c>
      <c r="F82" s="3">
        <v>2.6330399513244598</v>
      </c>
      <c r="G82" s="3">
        <v>168</v>
      </c>
      <c r="H82" s="4">
        <v>9535079</v>
      </c>
      <c r="I82" s="3">
        <v>0.20977999999999999</v>
      </c>
      <c r="J82" s="3">
        <v>69.483225195334668</v>
      </c>
      <c r="K82" s="3">
        <v>70.715023511904775</v>
      </c>
    </row>
    <row r="83" spans="1:11" x14ac:dyDescent="0.2">
      <c r="A83" s="2" t="s">
        <v>17</v>
      </c>
      <c r="B83" s="2" t="s">
        <v>18</v>
      </c>
      <c r="C83" s="3">
        <v>2015</v>
      </c>
      <c r="D83" s="3">
        <v>20678.753957237481</v>
      </c>
      <c r="E83" s="3">
        <v>-0.25879245996475198</v>
      </c>
      <c r="F83" s="3">
        <v>2.9516799449920601</v>
      </c>
      <c r="G83" s="3">
        <v>184</v>
      </c>
      <c r="H83" s="4">
        <v>9649341</v>
      </c>
      <c r="I83" s="3">
        <v>0.22231999999999999</v>
      </c>
      <c r="J83" s="3">
        <v>72.601507907318862</v>
      </c>
      <c r="K83" s="3">
        <v>70.781051264880944</v>
      </c>
    </row>
    <row r="84" spans="1:11" x14ac:dyDescent="0.2">
      <c r="A84" s="2" t="s">
        <v>17</v>
      </c>
      <c r="B84" s="2" t="s">
        <v>18</v>
      </c>
      <c r="C84" s="3">
        <v>2016</v>
      </c>
      <c r="D84" s="3">
        <v>19822.410594394129</v>
      </c>
      <c r="E84" s="3">
        <v>-0.15937638282775901</v>
      </c>
      <c r="F84" s="3">
        <v>2.90340995788574</v>
      </c>
      <c r="G84" s="3">
        <v>144</v>
      </c>
      <c r="H84" s="4">
        <v>9757812</v>
      </c>
      <c r="I84" s="3">
        <v>0.20637</v>
      </c>
      <c r="J84" s="3">
        <v>90.077318734567697</v>
      </c>
      <c r="K84" s="3">
        <v>71.147138988095236</v>
      </c>
    </row>
    <row r="85" spans="1:11" x14ac:dyDescent="0.2">
      <c r="A85" s="2" t="s">
        <v>17</v>
      </c>
      <c r="B85" s="2" t="s">
        <v>18</v>
      </c>
      <c r="C85" s="3">
        <v>2017</v>
      </c>
      <c r="D85" s="3">
        <v>19659.00485627677</v>
      </c>
      <c r="E85" s="3">
        <v>-0.17138060927391099</v>
      </c>
      <c r="F85" s="3">
        <v>2.4738199710846001</v>
      </c>
      <c r="G85" s="3">
        <v>204</v>
      </c>
      <c r="H85" s="4">
        <v>9854033</v>
      </c>
      <c r="I85" s="3">
        <v>0.18468000000000001</v>
      </c>
      <c r="J85" s="3">
        <v>90.4023156823216</v>
      </c>
      <c r="K85" s="3">
        <v>71.861630505952391</v>
      </c>
    </row>
    <row r="86" spans="1:11" x14ac:dyDescent="0.2">
      <c r="A86" s="2" t="s">
        <v>17</v>
      </c>
      <c r="B86" s="2" t="s">
        <v>18</v>
      </c>
      <c r="C86" s="3">
        <v>2018</v>
      </c>
      <c r="D86" s="3">
        <v>19781.85090584369</v>
      </c>
      <c r="E86" s="3">
        <v>-0.145130529999733</v>
      </c>
      <c r="F86" s="3">
        <v>2.4554300308227499</v>
      </c>
      <c r="G86" s="3">
        <v>155</v>
      </c>
      <c r="H86" s="4">
        <v>9939771</v>
      </c>
      <c r="I86" s="3">
        <v>0.18415999999999999</v>
      </c>
      <c r="J86" s="3">
        <v>91.672576536982476</v>
      </c>
      <c r="K86" s="3">
        <v>72.197652752976197</v>
      </c>
    </row>
    <row r="87" spans="1:11" x14ac:dyDescent="0.2">
      <c r="A87" s="2" t="s">
        <v>17</v>
      </c>
      <c r="B87" s="2" t="s">
        <v>18</v>
      </c>
      <c r="C87" s="3">
        <v>2019</v>
      </c>
      <c r="D87" s="3">
        <v>20101.49187514704</v>
      </c>
      <c r="E87" s="3">
        <v>-0.128162756562233</v>
      </c>
      <c r="F87" s="3">
        <v>3.1764600276946999</v>
      </c>
      <c r="G87" s="3">
        <v>147</v>
      </c>
      <c r="H87" s="4">
        <v>10024283</v>
      </c>
      <c r="I87" s="3">
        <v>0.20013</v>
      </c>
      <c r="J87" s="3">
        <v>85.818145408456076</v>
      </c>
      <c r="K87" s="3">
        <v>72.371868526785704</v>
      </c>
    </row>
    <row r="88" spans="1:11" x14ac:dyDescent="0.2">
      <c r="A88" s="2" t="s">
        <v>17</v>
      </c>
      <c r="B88" s="2" t="s">
        <v>18</v>
      </c>
      <c r="C88" s="3">
        <v>2020</v>
      </c>
      <c r="D88" s="3">
        <v>19126.096851125989</v>
      </c>
      <c r="E88" s="3">
        <v>-0.15526370704174</v>
      </c>
      <c r="F88" s="3">
        <v>4.3320498466491699</v>
      </c>
      <c r="G88" s="3">
        <v>90</v>
      </c>
      <c r="H88" s="4">
        <v>10093121</v>
      </c>
      <c r="I88" s="3">
        <v>0.22389999999999999</v>
      </c>
      <c r="J88" s="3">
        <v>72.017867648781106</v>
      </c>
      <c r="K88" s="3">
        <v>72.701546577380938</v>
      </c>
    </row>
    <row r="89" spans="1:11" x14ac:dyDescent="0.2">
      <c r="A89" s="2" t="s">
        <v>17</v>
      </c>
      <c r="B89" s="2" t="s">
        <v>18</v>
      </c>
      <c r="C89" s="3">
        <v>2021</v>
      </c>
      <c r="D89" s="3">
        <v>20111.375695210882</v>
      </c>
      <c r="E89" s="3">
        <v>0.213475212454796</v>
      </c>
      <c r="F89" s="3">
        <v>3.7020800113678001</v>
      </c>
      <c r="G89" s="3">
        <v>119</v>
      </c>
      <c r="H89" s="4">
        <v>10137750</v>
      </c>
      <c r="I89" s="3">
        <v>0.20835999999999999</v>
      </c>
      <c r="J89" s="3">
        <v>76.286865687015037</v>
      </c>
      <c r="K89" s="3">
        <v>73.028039508928572</v>
      </c>
    </row>
    <row r="90" spans="1:11" x14ac:dyDescent="0.2">
      <c r="A90" s="2" t="s">
        <v>19</v>
      </c>
      <c r="B90" s="2" t="s">
        <v>20</v>
      </c>
      <c r="C90" s="3">
        <v>2000</v>
      </c>
      <c r="D90" s="3">
        <v>2712.935122157251</v>
      </c>
      <c r="E90" s="3">
        <v>-0.607652246952057</v>
      </c>
      <c r="F90" s="3">
        <v>2.1250801086425799</v>
      </c>
      <c r="G90" s="3">
        <v>70</v>
      </c>
      <c r="H90" s="4">
        <v>134544304</v>
      </c>
      <c r="I90" s="2"/>
      <c r="J90" s="3">
        <v>29.321714361903791</v>
      </c>
      <c r="K90" s="3">
        <v>54.357904490280958</v>
      </c>
    </row>
    <row r="91" spans="1:11" x14ac:dyDescent="0.2">
      <c r="A91" s="2" t="s">
        <v>19</v>
      </c>
      <c r="B91" s="2" t="s">
        <v>20</v>
      </c>
      <c r="C91" s="3">
        <v>2001</v>
      </c>
      <c r="D91" s="3">
        <v>2803.5547195094632</v>
      </c>
      <c r="E91" s="2"/>
      <c r="F91" s="3">
        <v>2.1719300746917698</v>
      </c>
      <c r="G91" s="3">
        <v>59</v>
      </c>
      <c r="H91" s="4">
        <v>136805810</v>
      </c>
      <c r="I91" s="2"/>
      <c r="J91" s="3">
        <v>32.098017073011661</v>
      </c>
      <c r="K91" s="3">
        <v>53.627687428910967</v>
      </c>
    </row>
    <row r="92" spans="1:11" x14ac:dyDescent="0.2">
      <c r="A92" s="2" t="s">
        <v>19</v>
      </c>
      <c r="B92" s="2" t="s">
        <v>20</v>
      </c>
      <c r="C92" s="3">
        <v>2002</v>
      </c>
      <c r="D92" s="3">
        <v>2866.4345432871542</v>
      </c>
      <c r="E92" s="3">
        <v>-0.72673612833023105</v>
      </c>
      <c r="F92" s="3">
        <v>2.01714992523193</v>
      </c>
      <c r="G92" s="3">
        <v>43</v>
      </c>
      <c r="H92" s="4">
        <v>138933658</v>
      </c>
      <c r="I92" s="2"/>
      <c r="J92" s="3">
        <v>28.967380721164918</v>
      </c>
      <c r="K92" s="3">
        <v>53.831646655631943</v>
      </c>
    </row>
    <row r="93" spans="1:11" x14ac:dyDescent="0.2">
      <c r="A93" s="2" t="s">
        <v>19</v>
      </c>
      <c r="B93" s="2" t="s">
        <v>20</v>
      </c>
      <c r="C93" s="3">
        <v>2003</v>
      </c>
      <c r="D93" s="3">
        <v>2958.915031156333</v>
      </c>
      <c r="E93" s="3">
        <v>-0.83893859386444103</v>
      </c>
      <c r="F93" s="3">
        <v>2.0693900585174601</v>
      </c>
      <c r="G93" s="3">
        <v>58</v>
      </c>
      <c r="H93" s="4">
        <v>140970351</v>
      </c>
      <c r="I93" s="2"/>
      <c r="J93" s="3">
        <v>27.65788490015796</v>
      </c>
      <c r="K93" s="3">
        <v>53.819562112723872</v>
      </c>
    </row>
    <row r="94" spans="1:11" x14ac:dyDescent="0.2">
      <c r="A94" s="2" t="s">
        <v>19</v>
      </c>
      <c r="B94" s="2" t="s">
        <v>20</v>
      </c>
      <c r="C94" s="3">
        <v>2004</v>
      </c>
      <c r="D94" s="3">
        <v>3071.83778764611</v>
      </c>
      <c r="E94" s="3">
        <v>-0.93288254737854004</v>
      </c>
      <c r="F94" s="3">
        <v>1.94014000892639</v>
      </c>
      <c r="G94" s="3">
        <v>48</v>
      </c>
      <c r="H94" s="4">
        <v>142902856</v>
      </c>
      <c r="I94" s="2"/>
      <c r="J94" s="3">
        <v>26.858234149243138</v>
      </c>
      <c r="K94" s="3">
        <v>54.009776542738301</v>
      </c>
    </row>
    <row r="95" spans="1:11" x14ac:dyDescent="0.2">
      <c r="A95" s="2" t="s">
        <v>19</v>
      </c>
      <c r="B95" s="2" t="s">
        <v>20</v>
      </c>
      <c r="C95" s="3">
        <v>2005</v>
      </c>
      <c r="D95" s="3">
        <v>3231.6137069289111</v>
      </c>
      <c r="E95" s="3">
        <v>-0.91895431280136097</v>
      </c>
      <c r="F95" s="2"/>
      <c r="G95" s="3">
        <v>50</v>
      </c>
      <c r="H95" s="4">
        <v>144715786</v>
      </c>
      <c r="I95" s="2"/>
      <c r="J95" s="3">
        <v>34.396934864464967</v>
      </c>
      <c r="K95" s="3">
        <v>54.557308242084723</v>
      </c>
    </row>
    <row r="96" spans="1:11" x14ac:dyDescent="0.2">
      <c r="A96" s="2" t="s">
        <v>19</v>
      </c>
      <c r="B96" s="2" t="s">
        <v>20</v>
      </c>
      <c r="C96" s="3">
        <v>2006</v>
      </c>
      <c r="D96" s="3">
        <v>3407.427350215904</v>
      </c>
      <c r="E96" s="3">
        <v>-0.83869910240173295</v>
      </c>
      <c r="F96" s="3">
        <v>2.1312899589538601</v>
      </c>
      <c r="G96" s="3">
        <v>22</v>
      </c>
      <c r="H96" s="4">
        <v>146405973</v>
      </c>
      <c r="I96" s="2"/>
      <c r="J96" s="3">
        <v>38.11192443259214</v>
      </c>
      <c r="K96" s="3">
        <v>55.359662723877427</v>
      </c>
    </row>
    <row r="97" spans="1:11" x14ac:dyDescent="0.2">
      <c r="A97" s="2" t="s">
        <v>19</v>
      </c>
      <c r="B97" s="2" t="s">
        <v>20</v>
      </c>
      <c r="C97" s="3">
        <v>2007</v>
      </c>
      <c r="D97" s="3">
        <v>3608.915438193992</v>
      </c>
      <c r="E97" s="3">
        <v>-0.70753276348114003</v>
      </c>
      <c r="F97" s="3">
        <v>2.20221996307373</v>
      </c>
      <c r="G97" s="3">
        <v>29</v>
      </c>
      <c r="H97" s="4">
        <v>147989278</v>
      </c>
      <c r="I97" s="2"/>
      <c r="J97" s="3">
        <v>39.94238265317351</v>
      </c>
      <c r="K97" s="3">
        <v>55.484166713352018</v>
      </c>
    </row>
    <row r="98" spans="1:11" x14ac:dyDescent="0.2">
      <c r="A98" s="2" t="s">
        <v>19</v>
      </c>
      <c r="B98" s="2" t="s">
        <v>20</v>
      </c>
      <c r="C98" s="3">
        <v>2008</v>
      </c>
      <c r="D98" s="3">
        <v>3787.9382761855031</v>
      </c>
      <c r="E98" s="3">
        <v>-0.73839640617370605</v>
      </c>
      <c r="F98" s="3">
        <v>2.0545699596404998</v>
      </c>
      <c r="G98" s="3">
        <v>60</v>
      </c>
      <c r="H98" s="4">
        <v>149474264</v>
      </c>
      <c r="I98" s="2"/>
      <c r="J98" s="3">
        <v>42.6209140325589</v>
      </c>
      <c r="K98" s="3">
        <v>55.727259574738987</v>
      </c>
    </row>
    <row r="99" spans="1:11" x14ac:dyDescent="0.2">
      <c r="A99" s="2" t="s">
        <v>19</v>
      </c>
      <c r="B99" s="2" t="s">
        <v>20</v>
      </c>
      <c r="C99" s="3">
        <v>2009</v>
      </c>
      <c r="D99" s="3">
        <v>3942.1363120720339</v>
      </c>
      <c r="E99" s="3">
        <v>-0.80275642871856701</v>
      </c>
      <c r="F99" s="3">
        <v>1.93941998481751</v>
      </c>
      <c r="G99" s="3">
        <v>55</v>
      </c>
      <c r="H99" s="4">
        <v>150873714</v>
      </c>
      <c r="I99" s="2"/>
      <c r="J99" s="3">
        <v>40.092796223022958</v>
      </c>
      <c r="K99" s="3">
        <v>55.599218699601053</v>
      </c>
    </row>
    <row r="100" spans="1:11" x14ac:dyDescent="0.2">
      <c r="A100" s="2" t="s">
        <v>19</v>
      </c>
      <c r="B100" s="2" t="s">
        <v>20</v>
      </c>
      <c r="C100" s="3">
        <v>2010</v>
      </c>
      <c r="D100" s="3">
        <v>4125.4639016320161</v>
      </c>
      <c r="E100" s="3">
        <v>-0.75368958711624101</v>
      </c>
      <c r="F100" s="2"/>
      <c r="G100" s="3">
        <v>66</v>
      </c>
      <c r="H100" s="4">
        <v>152201981</v>
      </c>
      <c r="I100" s="2"/>
      <c r="J100" s="3">
        <v>37.802842670832149</v>
      </c>
      <c r="K100" s="3">
        <v>56.785899452508282</v>
      </c>
    </row>
    <row r="101" spans="1:11" x14ac:dyDescent="0.2">
      <c r="A101" s="2" t="s">
        <v>19</v>
      </c>
      <c r="B101" s="2" t="s">
        <v>20</v>
      </c>
      <c r="C101" s="3">
        <v>2011</v>
      </c>
      <c r="D101" s="3">
        <v>4352.4264335932503</v>
      </c>
      <c r="E101" s="3">
        <v>-0.77212071418762196</v>
      </c>
      <c r="F101" s="3">
        <v>2.1326999664306601</v>
      </c>
      <c r="G101" s="3">
        <v>37</v>
      </c>
      <c r="H101" s="4">
        <v>153591076</v>
      </c>
      <c r="I101" s="2"/>
      <c r="J101" s="3">
        <v>47.420849835689808</v>
      </c>
      <c r="K101" s="3">
        <v>57.649701557592728</v>
      </c>
    </row>
    <row r="102" spans="1:11" x14ac:dyDescent="0.2">
      <c r="A102" s="2" t="s">
        <v>19</v>
      </c>
      <c r="B102" s="2" t="s">
        <v>20</v>
      </c>
      <c r="C102" s="3">
        <v>2012</v>
      </c>
      <c r="D102" s="3">
        <v>4592.048409198117</v>
      </c>
      <c r="E102" s="3">
        <v>-0.80772614479064897</v>
      </c>
      <c r="F102" s="3">
        <v>2.1754999160766602</v>
      </c>
      <c r="G102" s="3">
        <v>67</v>
      </c>
      <c r="H102" s="4">
        <v>155070101</v>
      </c>
      <c r="I102" s="2"/>
      <c r="J102" s="3">
        <v>48.110922749046729</v>
      </c>
      <c r="K102" s="3">
        <v>57.858398276886518</v>
      </c>
    </row>
    <row r="103" spans="1:11" x14ac:dyDescent="0.2">
      <c r="A103" s="2" t="s">
        <v>19</v>
      </c>
      <c r="B103" s="2" t="s">
        <v>20</v>
      </c>
      <c r="C103" s="3">
        <v>2013</v>
      </c>
      <c r="D103" s="3">
        <v>4822.7262137826592</v>
      </c>
      <c r="E103" s="3">
        <v>-0.79778110980987504</v>
      </c>
      <c r="F103" s="3">
        <v>1.9661600589752199</v>
      </c>
      <c r="G103" s="3">
        <v>60</v>
      </c>
      <c r="H103" s="4">
        <v>156532141</v>
      </c>
      <c r="I103" s="2"/>
      <c r="J103" s="3">
        <v>46.296402722817369</v>
      </c>
      <c r="K103" s="3">
        <v>58.769103883371542</v>
      </c>
    </row>
    <row r="104" spans="1:11" x14ac:dyDescent="0.2">
      <c r="A104" s="2" t="s">
        <v>19</v>
      </c>
      <c r="B104" s="2" t="s">
        <v>20</v>
      </c>
      <c r="C104" s="3">
        <v>2014</v>
      </c>
      <c r="D104" s="3">
        <v>5068.6396567274114</v>
      </c>
      <c r="E104" s="3">
        <v>-0.77507120370864901</v>
      </c>
      <c r="F104" s="3">
        <v>2.0987166308683798</v>
      </c>
      <c r="G104" s="3">
        <v>44</v>
      </c>
      <c r="H104" s="4">
        <v>157964929</v>
      </c>
      <c r="I104" s="2"/>
      <c r="J104" s="3">
        <v>44.514080196809587</v>
      </c>
      <c r="K104" s="3">
        <v>58.895139050165518</v>
      </c>
    </row>
    <row r="105" spans="1:11" x14ac:dyDescent="0.2">
      <c r="A105" s="2" t="s">
        <v>19</v>
      </c>
      <c r="B105" s="2" t="s">
        <v>20</v>
      </c>
      <c r="C105" s="3">
        <v>2015</v>
      </c>
      <c r="D105" s="3">
        <v>5352.7113329956564</v>
      </c>
      <c r="E105" s="3">
        <v>-0.75200957059860196</v>
      </c>
      <c r="F105" s="3">
        <v>1.87225417109978</v>
      </c>
      <c r="G105" s="3">
        <v>41</v>
      </c>
      <c r="H105" s="4">
        <v>159383179</v>
      </c>
      <c r="I105" s="2"/>
      <c r="J105" s="3">
        <v>42.085996307038187</v>
      </c>
      <c r="K105" s="3">
        <v>59.708174098124083</v>
      </c>
    </row>
    <row r="106" spans="1:11" x14ac:dyDescent="0.2">
      <c r="A106" s="2" t="s">
        <v>19</v>
      </c>
      <c r="B106" s="2" t="s">
        <v>20</v>
      </c>
      <c r="C106" s="3">
        <v>2016</v>
      </c>
      <c r="D106" s="3">
        <v>5682.5355349430629</v>
      </c>
      <c r="E106" s="3">
        <v>-0.70584756135940596</v>
      </c>
      <c r="F106" s="3">
        <v>1.2818399667739899</v>
      </c>
      <c r="G106" s="3">
        <v>77</v>
      </c>
      <c r="H106" s="4">
        <v>160811932</v>
      </c>
      <c r="I106" s="2"/>
      <c r="J106" s="3">
        <v>31.334150134614202</v>
      </c>
      <c r="K106" s="3">
        <v>60.411212545624309</v>
      </c>
    </row>
    <row r="107" spans="1:11" x14ac:dyDescent="0.2">
      <c r="A107" s="2" t="s">
        <v>19</v>
      </c>
      <c r="B107" s="2" t="s">
        <v>20</v>
      </c>
      <c r="C107" s="3">
        <v>2017</v>
      </c>
      <c r="D107" s="3">
        <v>6005.7071878104834</v>
      </c>
      <c r="E107" s="3">
        <v>-0.75201314687728904</v>
      </c>
      <c r="F107" s="3">
        <v>2.1134287535664802</v>
      </c>
      <c r="G107" s="3">
        <v>61</v>
      </c>
      <c r="H107" s="4">
        <v>162186147</v>
      </c>
      <c r="I107" s="2"/>
      <c r="J107" s="3">
        <v>29.99973067243435</v>
      </c>
      <c r="K107" s="3">
        <v>61.252111055937519</v>
      </c>
    </row>
    <row r="108" spans="1:11" x14ac:dyDescent="0.2">
      <c r="A108" s="2" t="s">
        <v>19</v>
      </c>
      <c r="B108" s="2" t="s">
        <v>20</v>
      </c>
      <c r="C108" s="3">
        <v>2018</v>
      </c>
      <c r="D108" s="3">
        <v>6392.5933402409046</v>
      </c>
      <c r="E108" s="3">
        <v>-0.76228368282318104</v>
      </c>
      <c r="F108" s="3">
        <v>2.0947747354566602</v>
      </c>
      <c r="G108" s="3">
        <v>69</v>
      </c>
      <c r="H108" s="4">
        <v>163523103</v>
      </c>
      <c r="I108" s="2"/>
      <c r="J108" s="3">
        <v>32.514631724088389</v>
      </c>
      <c r="K108" s="3">
        <v>61.721384148204741</v>
      </c>
    </row>
    <row r="109" spans="1:11" x14ac:dyDescent="0.2">
      <c r="A109" s="2" t="s">
        <v>19</v>
      </c>
      <c r="B109" s="2" t="s">
        <v>20</v>
      </c>
      <c r="C109" s="3">
        <v>2019</v>
      </c>
      <c r="D109" s="3">
        <v>6838.3261160824331</v>
      </c>
      <c r="E109" s="3">
        <v>-0.75353962182998702</v>
      </c>
      <c r="F109" s="3">
        <v>1.1309499740600599</v>
      </c>
      <c r="G109" s="3">
        <v>68</v>
      </c>
      <c r="H109" s="4">
        <v>164913055</v>
      </c>
      <c r="I109" s="2"/>
      <c r="J109" s="3">
        <v>31.57805449124043</v>
      </c>
      <c r="K109" s="3">
        <v>62.560605224514042</v>
      </c>
    </row>
    <row r="110" spans="1:11" x14ac:dyDescent="0.2">
      <c r="A110" s="2" t="s">
        <v>19</v>
      </c>
      <c r="B110" s="2" t="s">
        <v>20</v>
      </c>
      <c r="C110" s="3">
        <v>2020</v>
      </c>
      <c r="D110" s="3">
        <v>7015.1979279705611</v>
      </c>
      <c r="E110" s="3">
        <v>-0.77949130535125699</v>
      </c>
      <c r="F110" s="3">
        <v>2.1397435174187698</v>
      </c>
      <c r="G110" s="3">
        <v>40</v>
      </c>
      <c r="H110" s="4">
        <v>166298024</v>
      </c>
      <c r="I110" s="2"/>
      <c r="J110" s="3">
        <v>26.271447376215018</v>
      </c>
      <c r="K110" s="3">
        <v>62.851247173414819</v>
      </c>
    </row>
    <row r="111" spans="1:11" x14ac:dyDescent="0.2">
      <c r="A111" s="2" t="s">
        <v>19</v>
      </c>
      <c r="B111" s="2" t="s">
        <v>20</v>
      </c>
      <c r="C111" s="3">
        <v>2021</v>
      </c>
      <c r="D111" s="3">
        <v>7441.0691396125412</v>
      </c>
      <c r="E111" s="3">
        <v>-0.65335154533386197</v>
      </c>
      <c r="F111" s="3">
        <v>2.1709088250465398</v>
      </c>
      <c r="G111" s="3">
        <v>74</v>
      </c>
      <c r="H111" s="4">
        <v>167658854</v>
      </c>
      <c r="I111" s="2"/>
      <c r="J111" s="3">
        <v>27.724004703663109</v>
      </c>
      <c r="K111" s="3">
        <v>63.242468954248373</v>
      </c>
    </row>
    <row r="112" spans="1:11" x14ac:dyDescent="0.2">
      <c r="A112" s="2" t="s">
        <v>21</v>
      </c>
      <c r="B112" s="2" t="s">
        <v>22</v>
      </c>
      <c r="C112" s="3">
        <v>2000</v>
      </c>
      <c r="D112" s="3">
        <v>11182.45483393934</v>
      </c>
      <c r="E112" s="3">
        <v>-0.72157019376754805</v>
      </c>
      <c r="F112" s="3">
        <v>6.1966199874877903</v>
      </c>
      <c r="G112" s="3">
        <v>994</v>
      </c>
      <c r="H112" s="4">
        <v>9979610</v>
      </c>
      <c r="I112" s="3">
        <v>0.72209999999999996</v>
      </c>
      <c r="J112" s="3">
        <v>141.6091659550242</v>
      </c>
      <c r="K112" s="3">
        <v>71.404345623647203</v>
      </c>
    </row>
    <row r="113" spans="1:11" x14ac:dyDescent="0.2">
      <c r="A113" s="2" t="s">
        <v>21</v>
      </c>
      <c r="B113" s="2" t="s">
        <v>22</v>
      </c>
      <c r="C113" s="3">
        <v>2001</v>
      </c>
      <c r="D113" s="3">
        <v>11771.08720038606</v>
      </c>
      <c r="E113" s="2"/>
      <c r="F113" s="2"/>
      <c r="G113" s="3">
        <v>930</v>
      </c>
      <c r="H113" s="4">
        <v>9928549</v>
      </c>
      <c r="I113" s="3">
        <v>0.70875999999999995</v>
      </c>
      <c r="J113" s="3">
        <v>137.04493047306269</v>
      </c>
      <c r="K113" s="3">
        <v>72.567623223304466</v>
      </c>
    </row>
    <row r="114" spans="1:11" x14ac:dyDescent="0.2">
      <c r="A114" s="2" t="s">
        <v>21</v>
      </c>
      <c r="B114" s="2" t="s">
        <v>22</v>
      </c>
      <c r="C114" s="3">
        <v>2002</v>
      </c>
      <c r="D114" s="3">
        <v>12443.93225759393</v>
      </c>
      <c r="E114" s="3">
        <v>-1.0438023805618299</v>
      </c>
      <c r="F114" s="2"/>
      <c r="G114" s="3">
        <v>895</v>
      </c>
      <c r="H114" s="4">
        <v>9865548</v>
      </c>
      <c r="I114" s="3">
        <v>0.62090000000000001</v>
      </c>
      <c r="J114" s="3">
        <v>131.0020582822907</v>
      </c>
      <c r="K114" s="3">
        <v>73.194225394570694</v>
      </c>
    </row>
    <row r="115" spans="1:11" x14ac:dyDescent="0.2">
      <c r="A115" s="2" t="s">
        <v>21</v>
      </c>
      <c r="B115" s="2" t="s">
        <v>22</v>
      </c>
      <c r="C115" s="3">
        <v>2003</v>
      </c>
      <c r="D115" s="3">
        <v>13413.926550485379</v>
      </c>
      <c r="E115" s="3">
        <v>-1.05236744880676</v>
      </c>
      <c r="F115" s="2"/>
      <c r="G115" s="3">
        <v>1082</v>
      </c>
      <c r="H115" s="4">
        <v>9796749</v>
      </c>
      <c r="I115" s="3">
        <v>0.61146999999999996</v>
      </c>
      <c r="J115" s="3">
        <v>134.14185227322449</v>
      </c>
      <c r="K115" s="3">
        <v>73.6564020066739</v>
      </c>
    </row>
    <row r="116" spans="1:11" x14ac:dyDescent="0.2">
      <c r="A116" s="2" t="s">
        <v>21</v>
      </c>
      <c r="B116" s="2" t="s">
        <v>22</v>
      </c>
      <c r="C116" s="3">
        <v>2004</v>
      </c>
      <c r="D116" s="3">
        <v>15052.11821609467</v>
      </c>
      <c r="E116" s="3">
        <v>-1.2095705270767201</v>
      </c>
      <c r="F116" s="3">
        <v>5.7122597694396999</v>
      </c>
      <c r="G116" s="3">
        <v>1065</v>
      </c>
      <c r="H116" s="4">
        <v>9730146</v>
      </c>
      <c r="I116" s="3">
        <v>0.62758999999999998</v>
      </c>
      <c r="J116" s="3">
        <v>142.13651038770359</v>
      </c>
      <c r="K116" s="3">
        <v>75.065050629058433</v>
      </c>
    </row>
    <row r="117" spans="1:11" x14ac:dyDescent="0.2">
      <c r="A117" s="2" t="s">
        <v>21</v>
      </c>
      <c r="B117" s="2" t="s">
        <v>22</v>
      </c>
      <c r="C117" s="3">
        <v>2005</v>
      </c>
      <c r="D117" s="3">
        <v>16579.87316838339</v>
      </c>
      <c r="E117" s="3">
        <v>-1.13566422462463</v>
      </c>
      <c r="F117" s="3">
        <v>5.8710298538207999</v>
      </c>
      <c r="G117" s="3">
        <v>1166</v>
      </c>
      <c r="H117" s="4">
        <v>9663915</v>
      </c>
      <c r="I117" s="3">
        <v>0.67852000000000001</v>
      </c>
      <c r="J117" s="3">
        <v>118.8843516923299</v>
      </c>
      <c r="K117" s="3">
        <v>76.18366551226552</v>
      </c>
    </row>
    <row r="118" spans="1:11" x14ac:dyDescent="0.2">
      <c r="A118" s="2" t="s">
        <v>21</v>
      </c>
      <c r="B118" s="2" t="s">
        <v>22</v>
      </c>
      <c r="C118" s="3">
        <v>2006</v>
      </c>
      <c r="D118" s="3">
        <v>18349.871906063359</v>
      </c>
      <c r="E118" s="3">
        <v>-1.2037011384964</v>
      </c>
      <c r="F118" s="3">
        <v>6.0769600868225098</v>
      </c>
      <c r="G118" s="3">
        <v>1188</v>
      </c>
      <c r="H118" s="4">
        <v>9604924</v>
      </c>
      <c r="I118" s="3">
        <v>0.66064999999999996</v>
      </c>
      <c r="J118" s="3">
        <v>124.2951038893865</v>
      </c>
      <c r="K118" s="3">
        <v>76.168945508657998</v>
      </c>
    </row>
    <row r="119" spans="1:11" x14ac:dyDescent="0.2">
      <c r="A119" s="2" t="s">
        <v>21</v>
      </c>
      <c r="B119" s="2" t="s">
        <v>22</v>
      </c>
      <c r="C119" s="3">
        <v>2007</v>
      </c>
      <c r="D119" s="3">
        <v>20019.611167672829</v>
      </c>
      <c r="E119" s="3">
        <v>-1.1601269245147701</v>
      </c>
      <c r="F119" s="3">
        <v>5.15210008621216</v>
      </c>
      <c r="G119" s="3">
        <v>1405</v>
      </c>
      <c r="H119" s="4">
        <v>9560953</v>
      </c>
      <c r="I119" s="3">
        <v>0.96203000000000005</v>
      </c>
      <c r="J119" s="3">
        <v>128.1538779790728</v>
      </c>
      <c r="K119" s="3">
        <v>76.316971944895386</v>
      </c>
    </row>
    <row r="120" spans="1:11" x14ac:dyDescent="0.2">
      <c r="A120" s="2" t="s">
        <v>21</v>
      </c>
      <c r="B120" s="2" t="s">
        <v>22</v>
      </c>
      <c r="C120" s="3">
        <v>2008</v>
      </c>
      <c r="D120" s="3">
        <v>22137.94729283149</v>
      </c>
      <c r="E120" s="3">
        <v>-1.16596508026123</v>
      </c>
      <c r="F120" s="2"/>
      <c r="G120" s="3">
        <v>1510</v>
      </c>
      <c r="H120" s="4">
        <v>9527985</v>
      </c>
      <c r="I120" s="3">
        <v>0.74146999999999996</v>
      </c>
      <c r="J120" s="3">
        <v>129.59947854547471</v>
      </c>
      <c r="K120" s="3">
        <v>76.467464707341279</v>
      </c>
    </row>
    <row r="121" spans="1:11" x14ac:dyDescent="0.2">
      <c r="A121" s="2" t="s">
        <v>21</v>
      </c>
      <c r="B121" s="2" t="s">
        <v>22</v>
      </c>
      <c r="C121" s="3">
        <v>2009</v>
      </c>
      <c r="D121" s="3">
        <v>22236.838769113579</v>
      </c>
      <c r="E121" s="3">
        <v>-1.2097868919372601</v>
      </c>
      <c r="F121" s="3">
        <v>4.3689398765564</v>
      </c>
      <c r="G121" s="3">
        <v>1753</v>
      </c>
      <c r="H121" s="4">
        <v>9504583</v>
      </c>
      <c r="I121" s="3">
        <v>0.62166999999999994</v>
      </c>
      <c r="J121" s="3">
        <v>108.6356448283604</v>
      </c>
      <c r="K121" s="3">
        <v>76.697081797889609</v>
      </c>
    </row>
    <row r="122" spans="1:11" x14ac:dyDescent="0.2">
      <c r="A122" s="2" t="s">
        <v>21</v>
      </c>
      <c r="B122" s="2" t="s">
        <v>22</v>
      </c>
      <c r="C122" s="3">
        <v>2010</v>
      </c>
      <c r="D122" s="3">
        <v>24012.61330402131</v>
      </c>
      <c r="E122" s="3">
        <v>-1.1897709369659399</v>
      </c>
      <c r="F122" s="3">
        <v>5.2200398445129403</v>
      </c>
      <c r="G122" s="3">
        <v>1759</v>
      </c>
      <c r="H122" s="4">
        <v>9483836</v>
      </c>
      <c r="I122" s="3">
        <v>0.66913</v>
      </c>
      <c r="J122" s="3">
        <v>115.91797298930339</v>
      </c>
      <c r="K122" s="3">
        <v>76.3311452674062</v>
      </c>
    </row>
    <row r="123" spans="1:11" x14ac:dyDescent="0.2">
      <c r="A123" s="2" t="s">
        <v>21</v>
      </c>
      <c r="B123" s="2" t="s">
        <v>22</v>
      </c>
      <c r="C123" s="3">
        <v>2011</v>
      </c>
      <c r="D123" s="3">
        <v>25404.756608241161</v>
      </c>
      <c r="E123" s="3">
        <v>-1.19257616996765</v>
      </c>
      <c r="F123" s="3">
        <v>4.6847901344299299</v>
      </c>
      <c r="G123" s="3">
        <v>1725</v>
      </c>
      <c r="H123" s="4">
        <v>9461643</v>
      </c>
      <c r="I123" s="3">
        <v>0.67759999999999998</v>
      </c>
      <c r="J123" s="3">
        <v>157.9742550733128</v>
      </c>
      <c r="K123" s="3">
        <v>76.532282140602462</v>
      </c>
    </row>
    <row r="124" spans="1:11" x14ac:dyDescent="0.2">
      <c r="A124" s="2" t="s">
        <v>21</v>
      </c>
      <c r="B124" s="2" t="s">
        <v>22</v>
      </c>
      <c r="C124" s="3">
        <v>2012</v>
      </c>
      <c r="D124" s="3">
        <v>25879.13194007011</v>
      </c>
      <c r="E124" s="3">
        <v>-0.97221833467483498</v>
      </c>
      <c r="F124" s="3">
        <v>4.9596400260925302</v>
      </c>
      <c r="G124" s="3">
        <v>1681</v>
      </c>
      <c r="H124" s="4">
        <v>9446836</v>
      </c>
      <c r="I124" s="3">
        <v>0.64602999999999999</v>
      </c>
      <c r="J124" s="3">
        <v>153.0852693133719</v>
      </c>
      <c r="K124" s="3">
        <v>77.296598931277046</v>
      </c>
    </row>
    <row r="125" spans="1:11" x14ac:dyDescent="0.2">
      <c r="A125" s="2" t="s">
        <v>21</v>
      </c>
      <c r="B125" s="2" t="s">
        <v>22</v>
      </c>
      <c r="C125" s="3">
        <v>2013</v>
      </c>
      <c r="D125" s="3">
        <v>26147.62535846452</v>
      </c>
      <c r="E125" s="3">
        <v>-0.96211796998977706</v>
      </c>
      <c r="F125" s="3">
        <v>5.0094199180603001</v>
      </c>
      <c r="G125" s="3">
        <v>1489</v>
      </c>
      <c r="H125" s="4">
        <v>9443211</v>
      </c>
      <c r="I125" s="3">
        <v>0.65190999999999999</v>
      </c>
      <c r="J125" s="3">
        <v>119.81596523572421</v>
      </c>
      <c r="K125" s="3">
        <v>76.89900045995671</v>
      </c>
    </row>
    <row r="126" spans="1:11" x14ac:dyDescent="0.2">
      <c r="A126" s="2" t="s">
        <v>21</v>
      </c>
      <c r="B126" s="2" t="s">
        <v>22</v>
      </c>
      <c r="C126" s="3">
        <v>2014</v>
      </c>
      <c r="D126" s="3">
        <v>26564.434724654751</v>
      </c>
      <c r="E126" s="3">
        <v>-0.490350842475891</v>
      </c>
      <c r="F126" s="3">
        <v>4.8183298110961896</v>
      </c>
      <c r="G126" s="3">
        <v>652</v>
      </c>
      <c r="H126" s="4">
        <v>9448515</v>
      </c>
      <c r="I126" s="3">
        <v>0.50548000000000004</v>
      </c>
      <c r="J126" s="3">
        <v>110.65142436758239</v>
      </c>
      <c r="K126" s="3">
        <v>77.573598304473308</v>
      </c>
    </row>
    <row r="127" spans="1:11" x14ac:dyDescent="0.2">
      <c r="A127" s="2" t="s">
        <v>21</v>
      </c>
      <c r="B127" s="2" t="s">
        <v>22</v>
      </c>
      <c r="C127" s="3">
        <v>2015</v>
      </c>
      <c r="D127" s="3">
        <v>25513.213295831651</v>
      </c>
      <c r="E127" s="3">
        <v>-0.48922908306121798</v>
      </c>
      <c r="F127" s="3">
        <v>4.7875099182128897</v>
      </c>
      <c r="G127" s="3">
        <v>543</v>
      </c>
      <c r="H127" s="4">
        <v>9461076</v>
      </c>
      <c r="I127" s="3">
        <v>0.49998999999999999</v>
      </c>
      <c r="J127" s="3">
        <v>115.9148262019462</v>
      </c>
      <c r="K127" s="3">
        <v>78.43654061372655</v>
      </c>
    </row>
    <row r="128" spans="1:11" x14ac:dyDescent="0.2">
      <c r="A128" s="2" t="s">
        <v>21</v>
      </c>
      <c r="B128" s="2" t="s">
        <v>22</v>
      </c>
      <c r="C128" s="3">
        <v>2016</v>
      </c>
      <c r="D128" s="3">
        <v>24846.830152935861</v>
      </c>
      <c r="E128" s="3">
        <v>-0.51394444704055797</v>
      </c>
      <c r="F128" s="3">
        <v>4.9465498924255398</v>
      </c>
      <c r="G128" s="3">
        <v>455</v>
      </c>
      <c r="H128" s="4">
        <v>9469379</v>
      </c>
      <c r="I128" s="3">
        <v>0.50063000000000002</v>
      </c>
      <c r="J128" s="3">
        <v>125.2093228996619</v>
      </c>
      <c r="K128" s="3">
        <v>78.609068876262626</v>
      </c>
    </row>
    <row r="129" spans="1:11" x14ac:dyDescent="0.2">
      <c r="A129" s="2" t="s">
        <v>21</v>
      </c>
      <c r="B129" s="2" t="s">
        <v>22</v>
      </c>
      <c r="C129" s="3">
        <v>2017</v>
      </c>
      <c r="D129" s="3">
        <v>25503.980984520669</v>
      </c>
      <c r="E129" s="3">
        <v>-0.35774418711662298</v>
      </c>
      <c r="F129" s="3">
        <v>4.7950000762939498</v>
      </c>
      <c r="G129" s="3">
        <v>434</v>
      </c>
      <c r="H129" s="4">
        <v>9458989</v>
      </c>
      <c r="I129" s="3">
        <v>0.58411000000000002</v>
      </c>
      <c r="J129" s="3">
        <v>133.36775472301181</v>
      </c>
      <c r="K129" s="3">
        <v>78.779202606421379</v>
      </c>
    </row>
    <row r="130" spans="1:11" x14ac:dyDescent="0.2">
      <c r="A130" s="2" t="s">
        <v>21</v>
      </c>
      <c r="B130" s="2" t="s">
        <v>22</v>
      </c>
      <c r="C130" s="3">
        <v>2018</v>
      </c>
      <c r="D130" s="3">
        <v>26363.46297785364</v>
      </c>
      <c r="E130" s="3">
        <v>-0.29794278740882901</v>
      </c>
      <c r="F130" s="3">
        <v>4.83656978607178</v>
      </c>
      <c r="G130" s="3">
        <v>453</v>
      </c>
      <c r="H130" s="4">
        <v>9438785</v>
      </c>
      <c r="I130" s="3">
        <v>0.60443000000000002</v>
      </c>
      <c r="J130" s="3">
        <v>139.39373625017069</v>
      </c>
      <c r="K130" s="3">
        <v>78.956981383026687</v>
      </c>
    </row>
    <row r="131" spans="1:11" x14ac:dyDescent="0.2">
      <c r="A131" s="2" t="s">
        <v>21</v>
      </c>
      <c r="B131" s="2" t="s">
        <v>22</v>
      </c>
      <c r="C131" s="3">
        <v>2019</v>
      </c>
      <c r="D131" s="3">
        <v>26798.82063980764</v>
      </c>
      <c r="E131" s="3">
        <v>-0.17448338866233801</v>
      </c>
      <c r="F131" s="3">
        <v>4.9794898033142099</v>
      </c>
      <c r="G131" s="3">
        <v>298</v>
      </c>
      <c r="H131" s="4">
        <v>9419758</v>
      </c>
      <c r="I131" s="3">
        <v>0.57733000000000001</v>
      </c>
      <c r="J131" s="3">
        <v>130.85040610218351</v>
      </c>
      <c r="K131" s="3">
        <v>79.085354588293626</v>
      </c>
    </row>
    <row r="132" spans="1:11" x14ac:dyDescent="0.2">
      <c r="A132" s="2" t="s">
        <v>21</v>
      </c>
      <c r="B132" s="2" t="s">
        <v>22</v>
      </c>
      <c r="C132" s="3">
        <v>2020</v>
      </c>
      <c r="D132" s="3">
        <v>26731.49538699221</v>
      </c>
      <c r="E132" s="3">
        <v>-0.82965821027755704</v>
      </c>
      <c r="F132" s="3">
        <v>4.8626399040222203</v>
      </c>
      <c r="G132" s="3">
        <v>317</v>
      </c>
      <c r="H132" s="4">
        <v>9379952</v>
      </c>
      <c r="I132" s="3">
        <v>0.53900999999999999</v>
      </c>
      <c r="J132" s="3">
        <v>118.9341761465341</v>
      </c>
      <c r="K132" s="3">
        <v>79.572083046987728</v>
      </c>
    </row>
    <row r="133" spans="1:11" x14ac:dyDescent="0.2">
      <c r="A133" s="2" t="s">
        <v>21</v>
      </c>
      <c r="B133" s="2" t="s">
        <v>22</v>
      </c>
      <c r="C133" s="3">
        <v>2021</v>
      </c>
      <c r="D133" s="3">
        <v>27611.180113515711</v>
      </c>
      <c r="E133" s="3">
        <v>-0.80415362119674705</v>
      </c>
      <c r="F133" s="3">
        <v>4.6064100265502903</v>
      </c>
      <c r="G133" s="3">
        <v>276</v>
      </c>
      <c r="H133" s="4">
        <v>9302585</v>
      </c>
      <c r="I133" s="3">
        <v>0.45981</v>
      </c>
      <c r="J133" s="3">
        <v>136.01416787747559</v>
      </c>
      <c r="K133" s="3">
        <v>79.43371541756855</v>
      </c>
    </row>
    <row r="134" spans="1:11" x14ac:dyDescent="0.2">
      <c r="A134" s="2" t="s">
        <v>23</v>
      </c>
      <c r="B134" s="2" t="s">
        <v>24</v>
      </c>
      <c r="C134" s="3">
        <v>2000</v>
      </c>
      <c r="D134" s="3">
        <v>50455.73389206719</v>
      </c>
      <c r="E134" s="3">
        <v>1.6591942310333301</v>
      </c>
      <c r="F134" s="2"/>
      <c r="G134" s="3">
        <v>577</v>
      </c>
      <c r="H134" s="4">
        <v>10251250</v>
      </c>
      <c r="I134" s="3">
        <v>1.9361999999999999</v>
      </c>
      <c r="J134" s="3">
        <v>142.2301350670343</v>
      </c>
      <c r="K134" s="3">
        <v>73.763229309905796</v>
      </c>
    </row>
    <row r="135" spans="1:11" x14ac:dyDescent="0.2">
      <c r="A135" s="2" t="s">
        <v>23</v>
      </c>
      <c r="B135" s="2" t="s">
        <v>24</v>
      </c>
      <c r="C135" s="3">
        <v>2001</v>
      </c>
      <c r="D135" s="3">
        <v>50835.396991606132</v>
      </c>
      <c r="E135" s="2"/>
      <c r="F135" s="2"/>
      <c r="G135" s="3">
        <v>571</v>
      </c>
      <c r="H135" s="4">
        <v>10286570</v>
      </c>
      <c r="I135" s="3">
        <v>2.0327899999999999</v>
      </c>
      <c r="J135" s="3">
        <v>139.57683983461891</v>
      </c>
      <c r="K135" s="3">
        <v>74.02518292165351</v>
      </c>
    </row>
    <row r="136" spans="1:11" x14ac:dyDescent="0.2">
      <c r="A136" s="2" t="s">
        <v>23</v>
      </c>
      <c r="B136" s="2" t="s">
        <v>24</v>
      </c>
      <c r="C136" s="3">
        <v>2002</v>
      </c>
      <c r="D136" s="3">
        <v>51471.853255093221</v>
      </c>
      <c r="E136" s="3">
        <v>1.91511082649231</v>
      </c>
      <c r="F136" s="2"/>
      <c r="G136" s="3">
        <v>601</v>
      </c>
      <c r="H136" s="4">
        <v>10332785</v>
      </c>
      <c r="I136" s="3">
        <v>1.9032500000000001</v>
      </c>
      <c r="J136" s="3">
        <v>136.08514948808059</v>
      </c>
      <c r="K136" s="3">
        <v>74.267287532891942</v>
      </c>
    </row>
    <row r="137" spans="1:11" x14ac:dyDescent="0.2">
      <c r="A137" s="2" t="s">
        <v>23</v>
      </c>
      <c r="B137" s="2" t="s">
        <v>24</v>
      </c>
      <c r="C137" s="3">
        <v>2003</v>
      </c>
      <c r="D137" s="3">
        <v>51788.843964197258</v>
      </c>
      <c r="E137" s="3">
        <v>1.8687895536422701</v>
      </c>
      <c r="F137" s="2"/>
      <c r="G137" s="3">
        <v>519</v>
      </c>
      <c r="H137" s="4">
        <v>10376133</v>
      </c>
      <c r="I137" s="3">
        <v>1.8411900000000001</v>
      </c>
      <c r="J137" s="3">
        <v>132.71555283388841</v>
      </c>
      <c r="K137" s="3">
        <v>74.763698013750968</v>
      </c>
    </row>
    <row r="138" spans="1:11" x14ac:dyDescent="0.2">
      <c r="A138" s="2" t="s">
        <v>23</v>
      </c>
      <c r="B138" s="2" t="s">
        <v>24</v>
      </c>
      <c r="C138" s="3">
        <v>2004</v>
      </c>
      <c r="D138" s="3">
        <v>53406.691862520071</v>
      </c>
      <c r="E138" s="3">
        <v>1.85430920124054</v>
      </c>
      <c r="F138" s="2"/>
      <c r="G138" s="3">
        <v>514</v>
      </c>
      <c r="H138" s="4">
        <v>10421137</v>
      </c>
      <c r="I138" s="3">
        <v>1.8205</v>
      </c>
      <c r="J138" s="3">
        <v>136.91840534843209</v>
      </c>
      <c r="K138" s="3">
        <v>74.720504923181409</v>
      </c>
    </row>
    <row r="139" spans="1:11" x14ac:dyDescent="0.2">
      <c r="A139" s="2" t="s">
        <v>23</v>
      </c>
      <c r="B139" s="2" t="s">
        <v>24</v>
      </c>
      <c r="C139" s="3">
        <v>2005</v>
      </c>
      <c r="D139" s="3">
        <v>54346.893421928587</v>
      </c>
      <c r="E139" s="3">
        <v>1.70650970935822</v>
      </c>
      <c r="F139" s="3">
        <v>5.79585981369019</v>
      </c>
      <c r="G139" s="3">
        <v>517</v>
      </c>
      <c r="H139" s="4">
        <v>10478617</v>
      </c>
      <c r="I139" s="3">
        <v>1.79061</v>
      </c>
      <c r="J139" s="3">
        <v>144.52905066998329</v>
      </c>
      <c r="K139" s="3">
        <v>75.226033751379333</v>
      </c>
    </row>
    <row r="140" spans="1:11" x14ac:dyDescent="0.2">
      <c r="A140" s="2" t="s">
        <v>23</v>
      </c>
      <c r="B140" s="2" t="s">
        <v>24</v>
      </c>
      <c r="C140" s="3">
        <v>2006</v>
      </c>
      <c r="D140" s="3">
        <v>55367.622746790708</v>
      </c>
      <c r="E140" s="3">
        <v>1.74316394329071</v>
      </c>
      <c r="F140" s="2"/>
      <c r="G140" s="3">
        <v>490</v>
      </c>
      <c r="H140" s="4">
        <v>10547958</v>
      </c>
      <c r="I140" s="3">
        <v>1.8226899999999999</v>
      </c>
      <c r="J140" s="3">
        <v>149.56750929951119</v>
      </c>
      <c r="K140" s="3">
        <v>75.600098037093616</v>
      </c>
    </row>
    <row r="141" spans="1:11" x14ac:dyDescent="0.2">
      <c r="A141" s="2" t="s">
        <v>23</v>
      </c>
      <c r="B141" s="2" t="s">
        <v>24</v>
      </c>
      <c r="C141" s="3">
        <v>2007</v>
      </c>
      <c r="D141" s="3">
        <v>56983.461217006159</v>
      </c>
      <c r="E141" s="3">
        <v>1.60233938694</v>
      </c>
      <c r="F141" s="2"/>
      <c r="G141" s="3">
        <v>454</v>
      </c>
      <c r="H141" s="4">
        <v>10625700</v>
      </c>
      <c r="I141" s="3">
        <v>1.84999</v>
      </c>
      <c r="J141" s="3">
        <v>152.46844687530279</v>
      </c>
      <c r="K141" s="3">
        <v>75.509837742975989</v>
      </c>
    </row>
    <row r="142" spans="1:11" x14ac:dyDescent="0.2">
      <c r="A142" s="2" t="s">
        <v>23</v>
      </c>
      <c r="B142" s="2" t="s">
        <v>24</v>
      </c>
      <c r="C142" s="3">
        <v>2008</v>
      </c>
      <c r="D142" s="3">
        <v>56787.736625741381</v>
      </c>
      <c r="E142" s="3">
        <v>1.38118207454681</v>
      </c>
      <c r="F142" s="3">
        <v>6.3329401016235396</v>
      </c>
      <c r="G142" s="3">
        <v>575</v>
      </c>
      <c r="H142" s="4">
        <v>10709973</v>
      </c>
      <c r="I142" s="3">
        <v>1.9368399999999999</v>
      </c>
      <c r="J142" s="3">
        <v>161.08844779044711</v>
      </c>
      <c r="K142" s="3">
        <v>75.498683004413905</v>
      </c>
    </row>
    <row r="143" spans="1:11" x14ac:dyDescent="0.2">
      <c r="A143" s="2" t="s">
        <v>23</v>
      </c>
      <c r="B143" s="2" t="s">
        <v>24</v>
      </c>
      <c r="C143" s="3">
        <v>2009</v>
      </c>
      <c r="D143" s="3">
        <v>55258.707101966618</v>
      </c>
      <c r="E143" s="3">
        <v>1.56746017932892</v>
      </c>
      <c r="F143" s="3">
        <v>6.4346599578857404</v>
      </c>
      <c r="G143" s="3">
        <v>669</v>
      </c>
      <c r="H143" s="4">
        <v>10796493</v>
      </c>
      <c r="I143" s="3">
        <v>1.9985999999999999</v>
      </c>
      <c r="J143" s="3">
        <v>135.1384057222902</v>
      </c>
      <c r="K143" s="3">
        <v>76.423998644003063</v>
      </c>
    </row>
    <row r="144" spans="1:11" x14ac:dyDescent="0.2">
      <c r="A144" s="2" t="s">
        <v>23</v>
      </c>
      <c r="B144" s="2" t="s">
        <v>24</v>
      </c>
      <c r="C144" s="3">
        <v>2010</v>
      </c>
      <c r="D144" s="3">
        <v>56240.203093623917</v>
      </c>
      <c r="E144" s="3">
        <v>1.6542098522186299</v>
      </c>
      <c r="F144" s="3">
        <v>6.4407701492309597</v>
      </c>
      <c r="G144" s="3">
        <v>620</v>
      </c>
      <c r="H144" s="4">
        <v>10895586</v>
      </c>
      <c r="I144" s="3">
        <v>2.0618799999999999</v>
      </c>
      <c r="J144" s="3">
        <v>150.16256362142749</v>
      </c>
      <c r="K144" s="3">
        <v>76.394358670741013</v>
      </c>
    </row>
    <row r="145" spans="1:11" x14ac:dyDescent="0.2">
      <c r="A145" s="2" t="s">
        <v>23</v>
      </c>
      <c r="B145" s="2" t="s">
        <v>24</v>
      </c>
      <c r="C145" s="3">
        <v>2011</v>
      </c>
      <c r="D145" s="3">
        <v>56585.302500067737</v>
      </c>
      <c r="E145" s="3">
        <v>1.7234758138656601</v>
      </c>
      <c r="F145" s="3">
        <v>6.3848199844360396</v>
      </c>
      <c r="G145" s="3">
        <v>636</v>
      </c>
      <c r="H145" s="4">
        <v>11038264</v>
      </c>
      <c r="I145" s="3">
        <v>2.1733199999999999</v>
      </c>
      <c r="J145" s="3">
        <v>160.76551688812589</v>
      </c>
      <c r="K145" s="3">
        <v>77.057422512944569</v>
      </c>
    </row>
    <row r="146" spans="1:11" x14ac:dyDescent="0.2">
      <c r="A146" s="2" t="s">
        <v>23</v>
      </c>
      <c r="B146" s="2" t="s">
        <v>24</v>
      </c>
      <c r="C146" s="3">
        <v>2012</v>
      </c>
      <c r="D146" s="3">
        <v>56356.825129213503</v>
      </c>
      <c r="E146" s="3">
        <v>1.6711741685867301</v>
      </c>
      <c r="F146" s="3">
        <v>6.5662698745727504</v>
      </c>
      <c r="G146" s="3">
        <v>755</v>
      </c>
      <c r="H146" s="4">
        <v>11106932</v>
      </c>
      <c r="I146" s="3">
        <v>2.2811400000000002</v>
      </c>
      <c r="J146" s="3">
        <v>160.3833014250587</v>
      </c>
      <c r="K146" s="3">
        <v>77.569552400050952</v>
      </c>
    </row>
    <row r="147" spans="1:11" x14ac:dyDescent="0.2">
      <c r="A147" s="2" t="s">
        <v>23</v>
      </c>
      <c r="B147" s="2" t="s">
        <v>24</v>
      </c>
      <c r="C147" s="3">
        <v>2013</v>
      </c>
      <c r="D147" s="3">
        <v>56263.175267966821</v>
      </c>
      <c r="E147" s="3">
        <v>1.70195496082306</v>
      </c>
      <c r="F147" s="3">
        <v>6.6013598442077601</v>
      </c>
      <c r="G147" s="3">
        <v>715</v>
      </c>
      <c r="H147" s="4">
        <v>11159407</v>
      </c>
      <c r="I147" s="3">
        <v>2.33073</v>
      </c>
      <c r="J147" s="3">
        <v>157.57362278243451</v>
      </c>
      <c r="K147" s="3">
        <v>77.849619177064767</v>
      </c>
    </row>
    <row r="148" spans="1:11" x14ac:dyDescent="0.2">
      <c r="A148" s="2" t="s">
        <v>23</v>
      </c>
      <c r="B148" s="2" t="s">
        <v>24</v>
      </c>
      <c r="C148" s="3">
        <v>2014</v>
      </c>
      <c r="D148" s="3">
        <v>57002.909218520421</v>
      </c>
      <c r="E148" s="3">
        <v>1.5173527002334599</v>
      </c>
      <c r="F148" s="3">
        <v>6.5586500167846697</v>
      </c>
      <c r="G148" s="3">
        <v>889</v>
      </c>
      <c r="H148" s="4">
        <v>11209057</v>
      </c>
      <c r="I148" s="3">
        <v>2.3700199999999998</v>
      </c>
      <c r="J148" s="3">
        <v>158.57161095352291</v>
      </c>
      <c r="K148" s="3">
        <v>78.749119117647055</v>
      </c>
    </row>
    <row r="149" spans="1:11" x14ac:dyDescent="0.2">
      <c r="A149" s="2" t="s">
        <v>23</v>
      </c>
      <c r="B149" s="2" t="s">
        <v>24</v>
      </c>
      <c r="C149" s="3">
        <v>2015</v>
      </c>
      <c r="D149" s="3">
        <v>57509.024572870207</v>
      </c>
      <c r="E149" s="3">
        <v>1.5294452905654901</v>
      </c>
      <c r="F149" s="3">
        <v>6.4696397781372097</v>
      </c>
      <c r="G149" s="3">
        <v>949</v>
      </c>
      <c r="H149" s="4">
        <v>11274196</v>
      </c>
      <c r="I149" s="3">
        <v>2.4281700000000002</v>
      </c>
      <c r="J149" s="3">
        <v>155.06868204592601</v>
      </c>
      <c r="K149" s="3">
        <v>79.217532904677014</v>
      </c>
    </row>
    <row r="150" spans="1:11" x14ac:dyDescent="0.2">
      <c r="A150" s="2" t="s">
        <v>23</v>
      </c>
      <c r="B150" s="2" t="s">
        <v>24</v>
      </c>
      <c r="C150" s="3">
        <v>2016</v>
      </c>
      <c r="D150" s="3">
        <v>57901.497690314813</v>
      </c>
      <c r="E150" s="3">
        <v>1.39763832092285</v>
      </c>
      <c r="F150" s="3">
        <v>6.4861302375793501</v>
      </c>
      <c r="G150" s="3">
        <v>1054</v>
      </c>
      <c r="H150" s="4">
        <v>11331422</v>
      </c>
      <c r="I150" s="3">
        <v>2.52338</v>
      </c>
      <c r="J150" s="3">
        <v>159.0576966119452</v>
      </c>
      <c r="K150" s="3">
        <v>79.162589512774815</v>
      </c>
    </row>
    <row r="151" spans="1:11" x14ac:dyDescent="0.2">
      <c r="A151" s="2" t="s">
        <v>23</v>
      </c>
      <c r="B151" s="2" t="s">
        <v>24</v>
      </c>
      <c r="C151" s="3">
        <v>2017</v>
      </c>
      <c r="D151" s="3">
        <v>58529.330295753432</v>
      </c>
      <c r="E151" s="3">
        <v>1.24078404903412</v>
      </c>
      <c r="F151" s="3">
        <v>6.4491500854492196</v>
      </c>
      <c r="G151" s="3">
        <v>1001</v>
      </c>
      <c r="H151" s="4">
        <v>11375158</v>
      </c>
      <c r="I151" s="3">
        <v>2.6666599999999998</v>
      </c>
      <c r="J151" s="3">
        <v>166.9040782377914</v>
      </c>
      <c r="K151" s="3">
        <v>79.275083233596476</v>
      </c>
    </row>
    <row r="152" spans="1:11" x14ac:dyDescent="0.2">
      <c r="A152" s="2" t="s">
        <v>23</v>
      </c>
      <c r="B152" s="2" t="s">
        <v>24</v>
      </c>
      <c r="C152" s="3">
        <v>2018</v>
      </c>
      <c r="D152" s="3">
        <v>59357.689688439372</v>
      </c>
      <c r="E152" s="3">
        <v>1.22463178634644</v>
      </c>
      <c r="F152" s="3">
        <v>6.3888301849365199</v>
      </c>
      <c r="G152" s="3">
        <v>892</v>
      </c>
      <c r="H152" s="4">
        <v>11427054</v>
      </c>
      <c r="I152" s="3">
        <v>2.8601800000000002</v>
      </c>
      <c r="J152" s="3">
        <v>168.27769287721779</v>
      </c>
      <c r="K152" s="3">
        <v>79.606238521772326</v>
      </c>
    </row>
    <row r="153" spans="1:11" x14ac:dyDescent="0.2">
      <c r="A153" s="2" t="s">
        <v>23</v>
      </c>
      <c r="B153" s="2" t="s">
        <v>24</v>
      </c>
      <c r="C153" s="3">
        <v>2019</v>
      </c>
      <c r="D153" s="3">
        <v>60479.976995546618</v>
      </c>
      <c r="E153" s="3">
        <v>1.1133183240890501</v>
      </c>
      <c r="F153" s="3">
        <v>6.3238101005554199</v>
      </c>
      <c r="G153" s="3">
        <v>876</v>
      </c>
      <c r="H153" s="4">
        <v>11488980</v>
      </c>
      <c r="I153" s="3">
        <v>3.1566000000000001</v>
      </c>
      <c r="J153" s="3">
        <v>165.46547893198991</v>
      </c>
      <c r="K153" s="3">
        <v>79.889229481792711</v>
      </c>
    </row>
    <row r="154" spans="1:11" x14ac:dyDescent="0.2">
      <c r="A154" s="2" t="s">
        <v>23</v>
      </c>
      <c r="B154" s="2" t="s">
        <v>24</v>
      </c>
      <c r="C154" s="3">
        <v>2020</v>
      </c>
      <c r="D154" s="3">
        <v>57333.542413792173</v>
      </c>
      <c r="E154" s="3">
        <v>1.07823526859283</v>
      </c>
      <c r="F154" s="3">
        <v>6.75470018386841</v>
      </c>
      <c r="G154" s="3">
        <v>862</v>
      </c>
      <c r="H154" s="4">
        <v>11538604</v>
      </c>
      <c r="I154" s="3">
        <v>3.39175</v>
      </c>
      <c r="J154" s="3">
        <v>156.9501212827835</v>
      </c>
      <c r="K154" s="3">
        <v>80.673378028180963</v>
      </c>
    </row>
    <row r="155" spans="1:11" x14ac:dyDescent="0.2">
      <c r="A155" s="2" t="s">
        <v>23</v>
      </c>
      <c r="B155" s="2" t="s">
        <v>24</v>
      </c>
      <c r="C155" s="3">
        <v>2021</v>
      </c>
      <c r="D155" s="3">
        <v>60669.213774653123</v>
      </c>
      <c r="E155" s="3">
        <v>1.0855726003646899</v>
      </c>
      <c r="F155" s="3">
        <v>6.3811202049255398</v>
      </c>
      <c r="G155" s="3">
        <v>799</v>
      </c>
      <c r="H155" s="4">
        <v>11586195</v>
      </c>
      <c r="I155" s="3">
        <v>3.3923899999999998</v>
      </c>
      <c r="J155" s="3">
        <v>177.38189244007279</v>
      </c>
      <c r="K155" s="3">
        <v>80.370938880400658</v>
      </c>
    </row>
    <row r="156" spans="1:11" x14ac:dyDescent="0.2">
      <c r="A156" s="2" t="s">
        <v>25</v>
      </c>
      <c r="B156" s="2" t="s">
        <v>26</v>
      </c>
      <c r="C156" s="3">
        <v>2000</v>
      </c>
      <c r="D156" s="3">
        <v>7830.534330783431</v>
      </c>
      <c r="E156" s="3">
        <v>-1.05737936496735</v>
      </c>
      <c r="F156" s="2"/>
      <c r="G156" s="3">
        <v>31</v>
      </c>
      <c r="H156" s="4">
        <v>4159771</v>
      </c>
      <c r="I156" s="2"/>
      <c r="J156" s="3">
        <v>85.357743134178776</v>
      </c>
      <c r="K156" s="3">
        <v>69.402046288515422</v>
      </c>
    </row>
    <row r="157" spans="1:11" x14ac:dyDescent="0.2">
      <c r="A157" s="2" t="s">
        <v>25</v>
      </c>
      <c r="B157" s="2" t="s">
        <v>26</v>
      </c>
      <c r="C157" s="3">
        <v>2001</v>
      </c>
      <c r="D157" s="3">
        <v>7982.5519573809388</v>
      </c>
      <c r="E157" s="2"/>
      <c r="F157" s="2"/>
      <c r="G157" s="3">
        <v>52</v>
      </c>
      <c r="H157" s="4">
        <v>4179438</v>
      </c>
      <c r="I157" s="2"/>
      <c r="J157" s="3">
        <v>86.035734013094782</v>
      </c>
      <c r="K157" s="3">
        <v>69.728932282913178</v>
      </c>
    </row>
    <row r="158" spans="1:11" x14ac:dyDescent="0.2">
      <c r="A158" s="2" t="s">
        <v>25</v>
      </c>
      <c r="B158" s="2" t="s">
        <v>26</v>
      </c>
      <c r="C158" s="3">
        <v>2002</v>
      </c>
      <c r="D158" s="3">
        <v>8366.7262526820086</v>
      </c>
      <c r="E158" s="3">
        <v>-1.07195007801056</v>
      </c>
      <c r="F158" s="2"/>
      <c r="G158" s="2"/>
      <c r="H158" s="4">
        <v>4188002</v>
      </c>
      <c r="I158" s="2"/>
      <c r="J158" s="3">
        <v>78.727478362600039</v>
      </c>
      <c r="K158" s="3">
        <v>69.057147829131651</v>
      </c>
    </row>
    <row r="159" spans="1:11" x14ac:dyDescent="0.2">
      <c r="A159" s="2" t="s">
        <v>25</v>
      </c>
      <c r="B159" s="2" t="s">
        <v>26</v>
      </c>
      <c r="C159" s="3">
        <v>2003</v>
      </c>
      <c r="D159" s="3">
        <v>8709.9928359346632</v>
      </c>
      <c r="E159" s="3">
        <v>-0.88033735752105702</v>
      </c>
      <c r="F159" s="2"/>
      <c r="G159" s="3">
        <v>32</v>
      </c>
      <c r="H159" s="4">
        <v>4178523</v>
      </c>
      <c r="I159" s="3">
        <v>1.8259999999999998E-2</v>
      </c>
      <c r="J159" s="3">
        <v>80.569457263936471</v>
      </c>
      <c r="K159" s="3">
        <v>69.066461414565822</v>
      </c>
    </row>
    <row r="160" spans="1:11" x14ac:dyDescent="0.2">
      <c r="A160" s="2" t="s">
        <v>25</v>
      </c>
      <c r="B160" s="2" t="s">
        <v>26</v>
      </c>
      <c r="C160" s="3">
        <v>2004</v>
      </c>
      <c r="D160" s="3">
        <v>9344.8689118420371</v>
      </c>
      <c r="E160" s="3">
        <v>-0.70136547088623002</v>
      </c>
      <c r="F160" s="2"/>
      <c r="G160" s="3">
        <v>50</v>
      </c>
      <c r="H160" s="4">
        <v>4140987</v>
      </c>
      <c r="I160" s="3">
        <v>1.5900000000000001E-2</v>
      </c>
      <c r="J160" s="3">
        <v>81.812686181718419</v>
      </c>
      <c r="K160" s="3">
        <v>68.803526330532222</v>
      </c>
    </row>
    <row r="161" spans="1:11" x14ac:dyDescent="0.2">
      <c r="A161" s="2" t="s">
        <v>25</v>
      </c>
      <c r="B161" s="2" t="s">
        <v>26</v>
      </c>
      <c r="C161" s="3">
        <v>2005</v>
      </c>
      <c r="D161" s="3">
        <v>9814.5103415883113</v>
      </c>
      <c r="E161" s="3">
        <v>-0.76462954282760598</v>
      </c>
      <c r="F161" s="2"/>
      <c r="G161" s="3">
        <v>66</v>
      </c>
      <c r="H161" s="4">
        <v>4096493</v>
      </c>
      <c r="I161" s="3">
        <v>2.6970000000000001E-2</v>
      </c>
      <c r="J161" s="3">
        <v>84.355462821798426</v>
      </c>
      <c r="K161" s="3">
        <v>68.86112093837535</v>
      </c>
    </row>
    <row r="162" spans="1:11" x14ac:dyDescent="0.2">
      <c r="A162" s="2" t="s">
        <v>25</v>
      </c>
      <c r="B162" s="2" t="s">
        <v>26</v>
      </c>
      <c r="C162" s="3">
        <v>2006</v>
      </c>
      <c r="D162" s="3">
        <v>10430.455250057919</v>
      </c>
      <c r="E162" s="3">
        <v>-0.63331913948059104</v>
      </c>
      <c r="F162" s="2"/>
      <c r="G162" s="3">
        <v>55</v>
      </c>
      <c r="H162" s="4">
        <v>4063272</v>
      </c>
      <c r="I162" s="3">
        <v>1.9689999999999999E-2</v>
      </c>
      <c r="J162" s="3">
        <v>79.829947775201575</v>
      </c>
      <c r="K162" s="3">
        <v>68.952654481792734</v>
      </c>
    </row>
    <row r="163" spans="1:11" x14ac:dyDescent="0.2">
      <c r="A163" s="2" t="s">
        <v>25</v>
      </c>
      <c r="B163" s="2" t="s">
        <v>26</v>
      </c>
      <c r="C163" s="3">
        <v>2007</v>
      </c>
      <c r="D163" s="3">
        <v>11178.72784118281</v>
      </c>
      <c r="E163" s="3">
        <v>-0.85871511697769198</v>
      </c>
      <c r="F163" s="2"/>
      <c r="G163" s="2"/>
      <c r="H163" s="4">
        <v>4013424</v>
      </c>
      <c r="I163" s="3">
        <v>2.521E-2</v>
      </c>
      <c r="J163" s="3">
        <v>83.551858889162972</v>
      </c>
      <c r="K163" s="3">
        <v>69.479269817927161</v>
      </c>
    </row>
    <row r="164" spans="1:11" x14ac:dyDescent="0.2">
      <c r="A164" s="2" t="s">
        <v>25</v>
      </c>
      <c r="B164" s="2" t="s">
        <v>26</v>
      </c>
      <c r="C164" s="3">
        <v>2008</v>
      </c>
      <c r="D164" s="3">
        <v>11983.769659648469</v>
      </c>
      <c r="E164" s="3">
        <v>-0.60450214147567705</v>
      </c>
      <c r="F164" s="2"/>
      <c r="G164" s="3">
        <v>59</v>
      </c>
      <c r="H164" s="4">
        <v>3947544</v>
      </c>
      <c r="I164" s="3">
        <v>1.8419999999999999E-2</v>
      </c>
      <c r="J164" s="3">
        <v>86.162879843050419</v>
      </c>
      <c r="K164" s="3">
        <v>70.081315896358547</v>
      </c>
    </row>
    <row r="165" spans="1:11" x14ac:dyDescent="0.2">
      <c r="A165" s="2" t="s">
        <v>25</v>
      </c>
      <c r="B165" s="2" t="s">
        <v>26</v>
      </c>
      <c r="C165" s="3">
        <v>2009</v>
      </c>
      <c r="D165" s="3">
        <v>11826.699180205071</v>
      </c>
      <c r="E165" s="3">
        <v>-0.72199988365173295</v>
      </c>
      <c r="F165" s="2"/>
      <c r="G165" s="2"/>
      <c r="H165" s="4">
        <v>3879794</v>
      </c>
      <c r="I165" s="3">
        <v>2.1059999999999999E-2</v>
      </c>
      <c r="J165" s="3">
        <v>73.747494225502265</v>
      </c>
      <c r="K165" s="3">
        <v>70.238336414565822</v>
      </c>
    </row>
    <row r="166" spans="1:11" x14ac:dyDescent="0.2">
      <c r="A166" s="2" t="s">
        <v>25</v>
      </c>
      <c r="B166" s="2" t="s">
        <v>26</v>
      </c>
      <c r="C166" s="3">
        <v>2010</v>
      </c>
      <c r="D166" s="3">
        <v>12142.91205221159</v>
      </c>
      <c r="E166" s="3">
        <v>-0.74055814743042003</v>
      </c>
      <c r="F166" s="2"/>
      <c r="G166" s="3">
        <v>56</v>
      </c>
      <c r="H166" s="4">
        <v>3811472</v>
      </c>
      <c r="I166" s="2"/>
      <c r="J166" s="3">
        <v>80.968215962682294</v>
      </c>
      <c r="K166" s="3">
        <v>70.521929411764731</v>
      </c>
    </row>
    <row r="167" spans="1:11" x14ac:dyDescent="0.2">
      <c r="A167" s="2" t="s">
        <v>25</v>
      </c>
      <c r="B167" s="2" t="s">
        <v>26</v>
      </c>
      <c r="C167" s="3">
        <v>2011</v>
      </c>
      <c r="D167" s="3">
        <v>12487.700842830131</v>
      </c>
      <c r="E167" s="3">
        <v>-0.73635929822921797</v>
      </c>
      <c r="F167" s="2"/>
      <c r="G167" s="3">
        <v>43</v>
      </c>
      <c r="H167" s="4">
        <v>3741798</v>
      </c>
      <c r="I167" s="2"/>
      <c r="J167" s="3">
        <v>87.836347713655556</v>
      </c>
      <c r="K167" s="3">
        <v>70.063936204481791</v>
      </c>
    </row>
    <row r="168" spans="1:11" x14ac:dyDescent="0.2">
      <c r="A168" s="2" t="s">
        <v>25</v>
      </c>
      <c r="B168" s="2" t="s">
        <v>26</v>
      </c>
      <c r="C168" s="3">
        <v>2012</v>
      </c>
      <c r="D168" s="3">
        <v>12626.978687583931</v>
      </c>
      <c r="E168" s="3">
        <v>-0.45469123125076299</v>
      </c>
      <c r="F168" s="2"/>
      <c r="G168" s="3">
        <v>2</v>
      </c>
      <c r="H168" s="4">
        <v>3670113</v>
      </c>
      <c r="I168" s="3">
        <v>0.26533000000000001</v>
      </c>
      <c r="J168" s="3">
        <v>88.145108862852922</v>
      </c>
      <c r="K168" s="3">
        <v>70.414666736694684</v>
      </c>
    </row>
    <row r="169" spans="1:11" x14ac:dyDescent="0.2">
      <c r="A169" s="2" t="s">
        <v>25</v>
      </c>
      <c r="B169" s="2" t="s">
        <v>26</v>
      </c>
      <c r="C169" s="3">
        <v>2013</v>
      </c>
      <c r="D169" s="3">
        <v>13135.7719791089</v>
      </c>
      <c r="E169" s="3">
        <v>-0.433313488960266</v>
      </c>
      <c r="F169" s="2"/>
      <c r="G169" s="3">
        <v>7</v>
      </c>
      <c r="H169" s="4">
        <v>3610859</v>
      </c>
      <c r="I169" s="3">
        <v>0.32131999999999999</v>
      </c>
      <c r="J169" s="3">
        <v>87.931238028056185</v>
      </c>
      <c r="K169" s="3">
        <v>70.543971078431369</v>
      </c>
    </row>
    <row r="170" spans="1:11" x14ac:dyDescent="0.2">
      <c r="A170" s="2" t="s">
        <v>25</v>
      </c>
      <c r="B170" s="2" t="s">
        <v>26</v>
      </c>
      <c r="C170" s="3">
        <v>2014</v>
      </c>
      <c r="D170" s="3">
        <v>13458.90839021122</v>
      </c>
      <c r="E170" s="3">
        <v>-0.49209672212600702</v>
      </c>
      <c r="F170" s="3">
        <v>3.3147396567463101</v>
      </c>
      <c r="G170" s="3">
        <v>41</v>
      </c>
      <c r="H170" s="4">
        <v>3564829</v>
      </c>
      <c r="I170" s="3">
        <v>0.25724999999999998</v>
      </c>
      <c r="J170" s="3">
        <v>90.552278039566232</v>
      </c>
      <c r="K170" s="3">
        <v>71.252176680672278</v>
      </c>
    </row>
    <row r="171" spans="1:11" x14ac:dyDescent="0.2">
      <c r="A171" s="2" t="s">
        <v>25</v>
      </c>
      <c r="B171" s="2" t="s">
        <v>26</v>
      </c>
      <c r="C171" s="3">
        <v>2015</v>
      </c>
      <c r="D171" s="3">
        <v>14220.14897445522</v>
      </c>
      <c r="E171" s="3">
        <v>-0.62479400634765603</v>
      </c>
      <c r="F171" s="3">
        <v>3.0181128667772001</v>
      </c>
      <c r="G171" s="2"/>
      <c r="H171" s="4">
        <v>3518541</v>
      </c>
      <c r="I171" s="3">
        <v>0.21603</v>
      </c>
      <c r="J171" s="3">
        <v>88.291992587588027</v>
      </c>
      <c r="K171" s="3">
        <v>71.483045868347332</v>
      </c>
    </row>
    <row r="172" spans="1:11" x14ac:dyDescent="0.2">
      <c r="A172" s="2" t="s">
        <v>25</v>
      </c>
      <c r="B172" s="2" t="s">
        <v>26</v>
      </c>
      <c r="C172" s="3">
        <v>2016</v>
      </c>
      <c r="D172" s="3">
        <v>14873.702791713071</v>
      </c>
      <c r="E172" s="3">
        <v>-0.45213577151298501</v>
      </c>
      <c r="F172" s="3">
        <v>4.2645101547241202</v>
      </c>
      <c r="G172" s="3">
        <v>60</v>
      </c>
      <c r="H172" s="4">
        <v>3473003</v>
      </c>
      <c r="I172" s="3">
        <v>0.21337</v>
      </c>
      <c r="J172" s="3">
        <v>88.244034002273793</v>
      </c>
      <c r="K172" s="3">
        <v>71.736364075630249</v>
      </c>
    </row>
    <row r="173" spans="1:11" x14ac:dyDescent="0.2">
      <c r="A173" s="2" t="s">
        <v>25</v>
      </c>
      <c r="B173" s="2" t="s">
        <v>26</v>
      </c>
      <c r="C173" s="3">
        <v>2017</v>
      </c>
      <c r="D173" s="3">
        <v>15554.723248178851</v>
      </c>
      <c r="E173" s="3">
        <v>-0.51901721954345703</v>
      </c>
      <c r="F173" s="3">
        <v>2.8386842423921701</v>
      </c>
      <c r="G173" s="3">
        <v>87</v>
      </c>
      <c r="H173" s="4">
        <v>3428682</v>
      </c>
      <c r="I173" s="3">
        <v>0.1978</v>
      </c>
      <c r="J173" s="3">
        <v>96.645880356686149</v>
      </c>
      <c r="K173" s="3">
        <v>71.621315686274528</v>
      </c>
    </row>
    <row r="174" spans="1:11" x14ac:dyDescent="0.2">
      <c r="A174" s="2" t="s">
        <v>25</v>
      </c>
      <c r="B174" s="2" t="s">
        <v>26</v>
      </c>
      <c r="C174" s="3">
        <v>2018</v>
      </c>
      <c r="D174" s="3">
        <v>16349.06751376612</v>
      </c>
      <c r="E174" s="3">
        <v>-0.67087262868881203</v>
      </c>
      <c r="F174" s="3">
        <v>3.8929700851440399</v>
      </c>
      <c r="G174" s="3">
        <v>84</v>
      </c>
      <c r="H174" s="4">
        <v>3387000</v>
      </c>
      <c r="I174" s="3">
        <v>0.19198999999999999</v>
      </c>
      <c r="J174" s="3">
        <v>98.43206941826314</v>
      </c>
      <c r="K174" s="3">
        <v>72.531385364145663</v>
      </c>
    </row>
    <row r="175" spans="1:11" x14ac:dyDescent="0.2">
      <c r="A175" s="2" t="s">
        <v>25</v>
      </c>
      <c r="B175" s="2" t="s">
        <v>26</v>
      </c>
      <c r="C175" s="3">
        <v>2019</v>
      </c>
      <c r="D175" s="3">
        <v>17029.367818455899</v>
      </c>
      <c r="E175" s="3">
        <v>-0.70642322301864602</v>
      </c>
      <c r="F175" s="3">
        <v>4.0444998741149902</v>
      </c>
      <c r="G175" s="3">
        <v>45</v>
      </c>
      <c r="H175" s="4">
        <v>3345533</v>
      </c>
      <c r="I175" s="3">
        <v>0.19001000000000001</v>
      </c>
      <c r="J175" s="3">
        <v>94.516125154246012</v>
      </c>
      <c r="K175" s="3">
        <v>72.778848039215688</v>
      </c>
    </row>
    <row r="176" spans="1:11" x14ac:dyDescent="0.2">
      <c r="A176" s="2" t="s">
        <v>25</v>
      </c>
      <c r="B176" s="2" t="s">
        <v>26</v>
      </c>
      <c r="C176" s="3">
        <v>2020</v>
      </c>
      <c r="D176" s="3">
        <v>16747.104841752542</v>
      </c>
      <c r="E176" s="3">
        <v>-1.0757032632827801</v>
      </c>
      <c r="F176" s="3">
        <v>3.0195408837112301</v>
      </c>
      <c r="G176" s="3">
        <v>50</v>
      </c>
      <c r="H176" s="4">
        <v>3299349</v>
      </c>
      <c r="I176" s="3">
        <v>0.20324999999999999</v>
      </c>
      <c r="J176" s="3">
        <v>82.521646799400713</v>
      </c>
      <c r="K176" s="3">
        <v>73.038380042016797</v>
      </c>
    </row>
    <row r="177" spans="1:11" x14ac:dyDescent="0.2">
      <c r="A177" s="2" t="s">
        <v>25</v>
      </c>
      <c r="B177" s="2" t="s">
        <v>26</v>
      </c>
      <c r="C177" s="3">
        <v>2021</v>
      </c>
      <c r="D177" s="3">
        <v>18286.737332423309</v>
      </c>
      <c r="E177" s="3">
        <v>-1.0731685161590601</v>
      </c>
      <c r="F177" s="3">
        <v>4.13622999191284</v>
      </c>
      <c r="G177" s="3">
        <v>53</v>
      </c>
      <c r="H177" s="4">
        <v>3244907</v>
      </c>
      <c r="I177" s="3">
        <v>0.19034999999999999</v>
      </c>
      <c r="J177" s="3">
        <v>96.739114440874374</v>
      </c>
      <c r="K177" s="3">
        <v>73.498815056022423</v>
      </c>
    </row>
    <row r="178" spans="1:11" x14ac:dyDescent="0.2">
      <c r="A178" s="2" t="s">
        <v>27</v>
      </c>
      <c r="B178" s="2" t="s">
        <v>28</v>
      </c>
      <c r="C178" s="3">
        <v>2000</v>
      </c>
      <c r="D178" s="3">
        <v>14005.34718707205</v>
      </c>
      <c r="E178" s="3">
        <v>4.3085087090730702E-2</v>
      </c>
      <c r="F178" s="3">
        <v>3.9489300251007098</v>
      </c>
      <c r="G178" s="3">
        <v>3179</v>
      </c>
      <c r="H178" s="4">
        <v>174018282</v>
      </c>
      <c r="I178" s="3">
        <v>1.0475099999999999</v>
      </c>
      <c r="J178" s="3">
        <v>22.63976135897552</v>
      </c>
      <c r="K178" s="3">
        <v>66.602323803157631</v>
      </c>
    </row>
    <row r="179" spans="1:11" x14ac:dyDescent="0.2">
      <c r="A179" s="2" t="s">
        <v>27</v>
      </c>
      <c r="B179" s="2" t="s">
        <v>28</v>
      </c>
      <c r="C179" s="3">
        <v>2001</v>
      </c>
      <c r="D179" s="3">
        <v>14016.131377356351</v>
      </c>
      <c r="E179" s="2"/>
      <c r="F179" s="3">
        <v>3.8446800708770801</v>
      </c>
      <c r="G179" s="3">
        <v>3439</v>
      </c>
      <c r="H179" s="4">
        <v>176301203</v>
      </c>
      <c r="I179" s="3">
        <v>1.0619799999999999</v>
      </c>
      <c r="J179" s="3">
        <v>26.936285024943039</v>
      </c>
      <c r="K179" s="3">
        <v>67.009516743060871</v>
      </c>
    </row>
    <row r="180" spans="1:11" x14ac:dyDescent="0.2">
      <c r="A180" s="2" t="s">
        <v>27</v>
      </c>
      <c r="B180" s="2" t="s">
        <v>28</v>
      </c>
      <c r="C180" s="3">
        <v>2002</v>
      </c>
      <c r="D180" s="3">
        <v>14265.904876851841</v>
      </c>
      <c r="E180" s="3">
        <v>-3.4615345299243899E-2</v>
      </c>
      <c r="F180" s="3">
        <v>3.7503700256347701</v>
      </c>
      <c r="G180" s="3">
        <v>3481</v>
      </c>
      <c r="H180" s="4">
        <v>178503484</v>
      </c>
      <c r="I180" s="3">
        <v>1.0096799999999999</v>
      </c>
      <c r="J180" s="3">
        <v>27.618357407717319</v>
      </c>
      <c r="K180" s="3">
        <v>67.216178038791298</v>
      </c>
    </row>
    <row r="181" spans="1:11" x14ac:dyDescent="0.2">
      <c r="A181" s="2" t="s">
        <v>27</v>
      </c>
      <c r="B181" s="2" t="s">
        <v>28</v>
      </c>
      <c r="C181" s="3">
        <v>2003</v>
      </c>
      <c r="D181" s="3">
        <v>14259.36640882855</v>
      </c>
      <c r="E181" s="3">
        <v>8.1757366657257094E-2</v>
      </c>
      <c r="F181" s="2"/>
      <c r="G181" s="3">
        <v>3866</v>
      </c>
      <c r="H181" s="4">
        <v>180622688</v>
      </c>
      <c r="I181" s="3">
        <v>0.99939</v>
      </c>
      <c r="J181" s="3">
        <v>28.140384721548909</v>
      </c>
      <c r="K181" s="3">
        <v>67.697114966895839</v>
      </c>
    </row>
    <row r="182" spans="1:11" x14ac:dyDescent="0.2">
      <c r="A182" s="2" t="s">
        <v>27</v>
      </c>
      <c r="B182" s="2" t="s">
        <v>28</v>
      </c>
      <c r="C182" s="3">
        <v>2004</v>
      </c>
      <c r="D182" s="3">
        <v>14911.26096077203</v>
      </c>
      <c r="E182" s="3">
        <v>-9.2270918190479306E-2</v>
      </c>
      <c r="F182" s="3">
        <v>3.9744799137115501</v>
      </c>
      <c r="G182" s="3">
        <v>4044</v>
      </c>
      <c r="H182" s="4">
        <v>182675143</v>
      </c>
      <c r="I182" s="3">
        <v>0.96343000000000001</v>
      </c>
      <c r="J182" s="3">
        <v>29.678252480349538</v>
      </c>
      <c r="K182" s="3">
        <v>68.149734061200235</v>
      </c>
    </row>
    <row r="183" spans="1:11" x14ac:dyDescent="0.2">
      <c r="A183" s="2" t="s">
        <v>27</v>
      </c>
      <c r="B183" s="2" t="s">
        <v>28</v>
      </c>
      <c r="C183" s="3">
        <v>2005</v>
      </c>
      <c r="D183" s="3">
        <v>15221.01382819173</v>
      </c>
      <c r="E183" s="3">
        <v>-0.15767024457454701</v>
      </c>
      <c r="F183" s="3">
        <v>4.4790802001953098</v>
      </c>
      <c r="G183" s="3">
        <v>4054</v>
      </c>
      <c r="H183" s="4">
        <v>184688101</v>
      </c>
      <c r="I183" s="3">
        <v>1.0024599999999999</v>
      </c>
      <c r="J183" s="3">
        <v>27.086795205247871</v>
      </c>
      <c r="K183" s="3">
        <v>68.55095157669129</v>
      </c>
    </row>
    <row r="184" spans="1:11" x14ac:dyDescent="0.2">
      <c r="A184" s="2" t="s">
        <v>27</v>
      </c>
      <c r="B184" s="2" t="s">
        <v>28</v>
      </c>
      <c r="C184" s="3">
        <v>2006</v>
      </c>
      <c r="D184" s="3">
        <v>15657.4795714009</v>
      </c>
      <c r="E184" s="3">
        <v>-0.39129549264907798</v>
      </c>
      <c r="F184" s="3">
        <v>4.8706002235412598</v>
      </c>
      <c r="G184" s="3">
        <v>3956</v>
      </c>
      <c r="H184" s="4">
        <v>186653106</v>
      </c>
      <c r="I184" s="3">
        <v>0.98807</v>
      </c>
      <c r="J184" s="3">
        <v>26.04169988794456</v>
      </c>
      <c r="K184" s="3">
        <v>69.008833908411859</v>
      </c>
    </row>
    <row r="185" spans="1:11" x14ac:dyDescent="0.2">
      <c r="A185" s="2" t="s">
        <v>27</v>
      </c>
      <c r="B185" s="2" t="s">
        <v>28</v>
      </c>
      <c r="C185" s="3">
        <v>2007</v>
      </c>
      <c r="D185" s="3">
        <v>16440.583739804639</v>
      </c>
      <c r="E185" s="3">
        <v>-0.29028996825218201</v>
      </c>
      <c r="F185" s="3">
        <v>4.9742598533630398</v>
      </c>
      <c r="G185" s="3">
        <v>4194</v>
      </c>
      <c r="H185" s="4">
        <v>188552320</v>
      </c>
      <c r="I185" s="3">
        <v>1.08138</v>
      </c>
      <c r="J185" s="3">
        <v>25.292611375780549</v>
      </c>
      <c r="K185" s="3">
        <v>69.380796093285781</v>
      </c>
    </row>
    <row r="186" spans="1:11" x14ac:dyDescent="0.2">
      <c r="A186" s="2" t="s">
        <v>27</v>
      </c>
      <c r="B186" s="2" t="s">
        <v>28</v>
      </c>
      <c r="C186" s="3">
        <v>2008</v>
      </c>
      <c r="D186" s="3">
        <v>17113.367982277221</v>
      </c>
      <c r="E186" s="3">
        <v>-0.148200899362564</v>
      </c>
      <c r="F186" s="3">
        <v>5.2688398361206001</v>
      </c>
      <c r="G186" s="3">
        <v>4280</v>
      </c>
      <c r="H186" s="4">
        <v>190367302</v>
      </c>
      <c r="I186" s="3">
        <v>1.12904</v>
      </c>
      <c r="J186" s="3">
        <v>27.257569416595292</v>
      </c>
      <c r="K186" s="3">
        <v>69.953649318818435</v>
      </c>
    </row>
    <row r="187" spans="1:11" x14ac:dyDescent="0.2">
      <c r="A187" s="2" t="s">
        <v>27</v>
      </c>
      <c r="B187" s="2" t="s">
        <v>28</v>
      </c>
      <c r="C187" s="3">
        <v>2009</v>
      </c>
      <c r="D187" s="3">
        <v>16939.440780904741</v>
      </c>
      <c r="E187" s="3">
        <v>-0.15130357444286299</v>
      </c>
      <c r="F187" s="3">
        <v>5.4635500907897896</v>
      </c>
      <c r="G187" s="3">
        <v>4271</v>
      </c>
      <c r="H187" s="4">
        <v>192079951</v>
      </c>
      <c r="I187" s="3">
        <v>1.11866</v>
      </c>
      <c r="J187" s="3">
        <v>22.10597560607107</v>
      </c>
      <c r="K187" s="3">
        <v>70.287669495373905</v>
      </c>
    </row>
    <row r="188" spans="1:11" x14ac:dyDescent="0.2">
      <c r="A188" s="2" t="s">
        <v>27</v>
      </c>
      <c r="B188" s="2" t="s">
        <v>28</v>
      </c>
      <c r="C188" s="3">
        <v>2010</v>
      </c>
      <c r="D188" s="3">
        <v>18062.15811022402</v>
      </c>
      <c r="E188" s="3">
        <v>-8.6862549185752896E-2</v>
      </c>
      <c r="F188" s="3">
        <v>5.6487998962402299</v>
      </c>
      <c r="G188" s="3">
        <v>4228</v>
      </c>
      <c r="H188" s="4">
        <v>193701929</v>
      </c>
      <c r="I188" s="3">
        <v>1.1599200000000001</v>
      </c>
      <c r="J188" s="3">
        <v>22.772178113220821</v>
      </c>
      <c r="K188" s="3">
        <v>70.597537579577292</v>
      </c>
    </row>
    <row r="189" spans="1:11" x14ac:dyDescent="0.2">
      <c r="A189" s="2" t="s">
        <v>27</v>
      </c>
      <c r="B189" s="2" t="s">
        <v>28</v>
      </c>
      <c r="C189" s="3">
        <v>2011</v>
      </c>
      <c r="D189" s="3">
        <v>18627.810452793328</v>
      </c>
      <c r="E189" s="3">
        <v>-0.152404069900513</v>
      </c>
      <c r="F189" s="3">
        <v>5.7374100685119602</v>
      </c>
      <c r="G189" s="3">
        <v>4695</v>
      </c>
      <c r="H189" s="4">
        <v>195284734</v>
      </c>
      <c r="I189" s="3">
        <v>1.1396599999999999</v>
      </c>
      <c r="J189" s="3">
        <v>23.93440517651031</v>
      </c>
      <c r="K189" s="3">
        <v>70.850507728545963</v>
      </c>
    </row>
    <row r="190" spans="1:11" x14ac:dyDescent="0.2">
      <c r="A190" s="2" t="s">
        <v>27</v>
      </c>
      <c r="B190" s="2" t="s">
        <v>28</v>
      </c>
      <c r="C190" s="3">
        <v>2012</v>
      </c>
      <c r="D190" s="3">
        <v>18832.219552435588</v>
      </c>
      <c r="E190" s="3">
        <v>-0.16054867208004001</v>
      </c>
      <c r="F190" s="3">
        <v>5.8551001548767099</v>
      </c>
      <c r="G190" s="3">
        <v>4798</v>
      </c>
      <c r="H190" s="4">
        <v>196876111</v>
      </c>
      <c r="I190" s="3">
        <v>1.1268400000000001</v>
      </c>
      <c r="J190" s="3">
        <v>25.114273610332159</v>
      </c>
      <c r="K190" s="3">
        <v>71.086787399202095</v>
      </c>
    </row>
    <row r="191" spans="1:11" x14ac:dyDescent="0.2">
      <c r="A191" s="2" t="s">
        <v>27</v>
      </c>
      <c r="B191" s="2" t="s">
        <v>28</v>
      </c>
      <c r="C191" s="3">
        <v>2013</v>
      </c>
      <c r="D191" s="3">
        <v>19241.505981452519</v>
      </c>
      <c r="E191" s="3">
        <v>-0.119030974805355</v>
      </c>
      <c r="F191" s="3">
        <v>5.8388500213623002</v>
      </c>
      <c r="G191" s="3">
        <v>4959</v>
      </c>
      <c r="H191" s="4">
        <v>198478299</v>
      </c>
      <c r="I191" s="3">
        <v>1.19567</v>
      </c>
      <c r="J191" s="3">
        <v>25.785957328145219</v>
      </c>
      <c r="K191" s="3">
        <v>71.668547396231219</v>
      </c>
    </row>
    <row r="192" spans="1:11" x14ac:dyDescent="0.2">
      <c r="A192" s="2" t="s">
        <v>27</v>
      </c>
      <c r="B192" s="2" t="s">
        <v>28</v>
      </c>
      <c r="C192" s="3">
        <v>2014</v>
      </c>
      <c r="D192" s="3">
        <v>19183.17274452226</v>
      </c>
      <c r="E192" s="3">
        <v>-0.175920635461807</v>
      </c>
      <c r="F192" s="3">
        <v>5.9484801292419398</v>
      </c>
      <c r="G192" s="3">
        <v>4659</v>
      </c>
      <c r="H192" s="4">
        <v>200085127</v>
      </c>
      <c r="I192" s="3">
        <v>1.2697099999999999</v>
      </c>
      <c r="J192" s="3">
        <v>24.685405813292011</v>
      </c>
      <c r="K192" s="3">
        <v>72.189823680078106</v>
      </c>
    </row>
    <row r="193" spans="1:11" x14ac:dyDescent="0.2">
      <c r="A193" s="2" t="s">
        <v>27</v>
      </c>
      <c r="B193" s="2" t="s">
        <v>28</v>
      </c>
      <c r="C193" s="3">
        <v>2015</v>
      </c>
      <c r="D193" s="3">
        <v>18357.069061542072</v>
      </c>
      <c r="E193" s="3">
        <v>-0.25527155399322499</v>
      </c>
      <c r="F193" s="3">
        <v>6.2410597801208496</v>
      </c>
      <c r="G193" s="3">
        <v>4641</v>
      </c>
      <c r="H193" s="4">
        <v>201675532</v>
      </c>
      <c r="I193" s="3">
        <v>1.37093</v>
      </c>
      <c r="J193" s="3">
        <v>26.95362593723695</v>
      </c>
      <c r="K193" s="3">
        <v>72.546288750954901</v>
      </c>
    </row>
    <row r="194" spans="1:11" x14ac:dyDescent="0.2">
      <c r="A194" s="2" t="s">
        <v>27</v>
      </c>
      <c r="B194" s="2" t="s">
        <v>28</v>
      </c>
      <c r="C194" s="3">
        <v>2016</v>
      </c>
      <c r="D194" s="3">
        <v>17620.927243440339</v>
      </c>
      <c r="E194" s="3">
        <v>-0.24938707053661299</v>
      </c>
      <c r="F194" s="3">
        <v>6.3140401840209996</v>
      </c>
      <c r="G194" s="3">
        <v>5200</v>
      </c>
      <c r="H194" s="4">
        <v>203218114</v>
      </c>
      <c r="I194" s="3">
        <v>1.28637</v>
      </c>
      <c r="J194" s="3">
        <v>24.533682077075611</v>
      </c>
      <c r="K194" s="3">
        <v>72.461766254986856</v>
      </c>
    </row>
    <row r="195" spans="1:11" x14ac:dyDescent="0.2">
      <c r="A195" s="2" t="s">
        <v>27</v>
      </c>
      <c r="B195" s="2" t="s">
        <v>28</v>
      </c>
      <c r="C195" s="3">
        <v>2017</v>
      </c>
      <c r="D195" s="3">
        <v>17724.47995778151</v>
      </c>
      <c r="E195" s="3">
        <v>-0.31714060902595498</v>
      </c>
      <c r="F195" s="3">
        <v>6.3204798698425302</v>
      </c>
      <c r="G195" s="3">
        <v>5480</v>
      </c>
      <c r="H195" s="4">
        <v>204703445</v>
      </c>
      <c r="I195" s="3">
        <v>1.1174999999999999</v>
      </c>
      <c r="J195" s="3">
        <v>24.319734374168441</v>
      </c>
      <c r="K195" s="3">
        <v>72.248273847720924</v>
      </c>
    </row>
    <row r="196" spans="1:11" x14ac:dyDescent="0.2">
      <c r="A196" s="2" t="s">
        <v>27</v>
      </c>
      <c r="B196" s="2" t="s">
        <v>28</v>
      </c>
      <c r="C196" s="3">
        <v>2018</v>
      </c>
      <c r="D196" s="3">
        <v>17917.74921229254</v>
      </c>
      <c r="E196" s="3">
        <v>-0.52056962251663197</v>
      </c>
      <c r="F196" s="3">
        <v>6.0885100364685103</v>
      </c>
      <c r="G196" s="3">
        <v>4980</v>
      </c>
      <c r="H196" s="4">
        <v>206107261</v>
      </c>
      <c r="I196" s="3">
        <v>1.1676899999999999</v>
      </c>
      <c r="J196" s="3">
        <v>28.87620337615299</v>
      </c>
      <c r="K196" s="3">
        <v>72.4343605954503</v>
      </c>
    </row>
    <row r="197" spans="1:11" x14ac:dyDescent="0.2">
      <c r="A197" s="2" t="s">
        <v>27</v>
      </c>
      <c r="B197" s="2" t="s">
        <v>28</v>
      </c>
      <c r="C197" s="3">
        <v>2019</v>
      </c>
      <c r="D197" s="3">
        <v>18018.620914949948</v>
      </c>
      <c r="E197" s="3">
        <v>-0.23411467671394301</v>
      </c>
      <c r="F197" s="3">
        <v>5.9634699821472203</v>
      </c>
      <c r="G197" s="3">
        <v>5464</v>
      </c>
      <c r="H197" s="4">
        <v>207455459</v>
      </c>
      <c r="I197" s="3">
        <v>1.21096</v>
      </c>
      <c r="J197" s="3">
        <v>28.890257869735368</v>
      </c>
      <c r="K197" s="3">
        <v>72.799078840930292</v>
      </c>
    </row>
    <row r="198" spans="1:11" x14ac:dyDescent="0.2">
      <c r="A198" s="2" t="s">
        <v>27</v>
      </c>
      <c r="B198" s="2" t="s">
        <v>28</v>
      </c>
      <c r="C198" s="3">
        <v>2020</v>
      </c>
      <c r="D198" s="3">
        <v>17327.51572481426</v>
      </c>
      <c r="E198" s="3">
        <v>-0.465709209442139</v>
      </c>
      <c r="F198" s="3">
        <v>5.7715001106262198</v>
      </c>
      <c r="G198" s="3">
        <v>5280</v>
      </c>
      <c r="H198" s="4">
        <v>208660842</v>
      </c>
      <c r="I198" s="3">
        <v>1.1452599999999999</v>
      </c>
      <c r="J198" s="3">
        <v>32.302078544349179</v>
      </c>
      <c r="K198" s="3">
        <v>73.717788362617782</v>
      </c>
    </row>
    <row r="199" spans="1:11" x14ac:dyDescent="0.2">
      <c r="A199" s="2" t="s">
        <v>27</v>
      </c>
      <c r="B199" s="2" t="s">
        <v>28</v>
      </c>
      <c r="C199" s="3">
        <v>2021</v>
      </c>
      <c r="D199" s="3">
        <v>18075.706004875679</v>
      </c>
      <c r="E199" s="3">
        <v>-0.49299037456512501</v>
      </c>
      <c r="F199" s="3">
        <v>5.4969801902770996</v>
      </c>
      <c r="G199" s="3">
        <v>4666</v>
      </c>
      <c r="H199" s="4">
        <v>209550294</v>
      </c>
      <c r="I199" s="2"/>
      <c r="J199" s="3">
        <v>37.65633075925755</v>
      </c>
      <c r="K199" s="3">
        <v>72.727047871572893</v>
      </c>
    </row>
    <row r="200" spans="1:11" x14ac:dyDescent="0.2">
      <c r="A200" s="2" t="s">
        <v>29</v>
      </c>
      <c r="B200" s="2" t="s">
        <v>30</v>
      </c>
      <c r="C200" s="3">
        <v>2000</v>
      </c>
      <c r="D200" s="3">
        <v>12563.888098866781</v>
      </c>
      <c r="E200" s="3">
        <v>3.7975478917360299E-2</v>
      </c>
      <c r="F200" s="2"/>
      <c r="G200" s="3">
        <v>231</v>
      </c>
      <c r="H200" s="4">
        <v>8170172</v>
      </c>
      <c r="I200" s="3">
        <v>0.49517</v>
      </c>
      <c r="J200" s="3">
        <v>77.745704159448863</v>
      </c>
      <c r="K200" s="3">
        <v>68.400298249299723</v>
      </c>
    </row>
    <row r="201" spans="1:11" x14ac:dyDescent="0.2">
      <c r="A201" s="2" t="s">
        <v>29</v>
      </c>
      <c r="B201" s="2" t="s">
        <v>30</v>
      </c>
      <c r="C201" s="3">
        <v>2001</v>
      </c>
      <c r="D201" s="3">
        <v>13306.559573916789</v>
      </c>
      <c r="E201" s="2"/>
      <c r="F201" s="3">
        <v>3.3842399120330802</v>
      </c>
      <c r="G201" s="3">
        <v>283</v>
      </c>
      <c r="H201" s="4">
        <v>8009142</v>
      </c>
      <c r="I201" s="3">
        <v>0.44708999999999999</v>
      </c>
      <c r="J201" s="3">
        <v>79.081368747766774</v>
      </c>
      <c r="K201" s="3">
        <v>68.280251097105506</v>
      </c>
    </row>
    <row r="202" spans="1:11" x14ac:dyDescent="0.2">
      <c r="A202" s="2" t="s">
        <v>29</v>
      </c>
      <c r="B202" s="2" t="s">
        <v>30</v>
      </c>
      <c r="C202" s="3">
        <v>2002</v>
      </c>
      <c r="D202" s="3">
        <v>14397.06091772081</v>
      </c>
      <c r="E202" s="3">
        <v>0.173596397042274</v>
      </c>
      <c r="F202" s="3">
        <v>3.38608002662659</v>
      </c>
      <c r="G202" s="3">
        <v>289</v>
      </c>
      <c r="H202" s="4">
        <v>7837161</v>
      </c>
      <c r="I202" s="3">
        <v>0.46472999999999998</v>
      </c>
      <c r="J202" s="3">
        <v>75.269611014352407</v>
      </c>
      <c r="K202" s="3">
        <v>70.442629341736705</v>
      </c>
    </row>
    <row r="203" spans="1:11" x14ac:dyDescent="0.2">
      <c r="A203" s="2" t="s">
        <v>29</v>
      </c>
      <c r="B203" s="2" t="s">
        <v>30</v>
      </c>
      <c r="C203" s="3">
        <v>2003</v>
      </c>
      <c r="D203" s="3">
        <v>15271.547288244399</v>
      </c>
      <c r="E203" s="3">
        <v>3.3697139471769298E-2</v>
      </c>
      <c r="F203" s="3">
        <v>3.9984500408172599</v>
      </c>
      <c r="G203" s="3">
        <v>278</v>
      </c>
      <c r="H203" s="4">
        <v>7775327</v>
      </c>
      <c r="I203" s="3">
        <v>0.47221999999999997</v>
      </c>
      <c r="J203" s="3">
        <v>79.013885371357546</v>
      </c>
      <c r="K203" s="3">
        <v>70.417512885154053</v>
      </c>
    </row>
    <row r="204" spans="1:11" x14ac:dyDescent="0.2">
      <c r="A204" s="2" t="s">
        <v>29</v>
      </c>
      <c r="B204" s="2" t="s">
        <v>30</v>
      </c>
      <c r="C204" s="3">
        <v>2004</v>
      </c>
      <c r="D204" s="3">
        <v>16389.028241911681</v>
      </c>
      <c r="E204" s="3">
        <v>7.8745044767856598E-2</v>
      </c>
      <c r="F204" s="3">
        <v>4.2498898506164604</v>
      </c>
      <c r="G204" s="3">
        <v>263</v>
      </c>
      <c r="H204" s="4">
        <v>7716860</v>
      </c>
      <c r="I204" s="3">
        <v>0.47086</v>
      </c>
      <c r="J204" s="3">
        <v>93.063897964183013</v>
      </c>
      <c r="K204" s="3">
        <v>70.992801003734826</v>
      </c>
    </row>
    <row r="205" spans="1:11" x14ac:dyDescent="0.2">
      <c r="A205" s="2" t="s">
        <v>29</v>
      </c>
      <c r="B205" s="2" t="s">
        <v>30</v>
      </c>
      <c r="C205" s="3">
        <v>2005</v>
      </c>
      <c r="D205" s="3">
        <v>17678.10749432139</v>
      </c>
      <c r="E205" s="3">
        <v>0.13438110053539301</v>
      </c>
      <c r="F205" s="3">
        <v>4.1087999343872097</v>
      </c>
      <c r="G205" s="3">
        <v>261</v>
      </c>
      <c r="H205" s="4">
        <v>7658972</v>
      </c>
      <c r="I205" s="3">
        <v>0.44268999999999997</v>
      </c>
      <c r="J205" s="3">
        <v>99.714211212738135</v>
      </c>
      <c r="K205" s="3">
        <v>70.915621965452843</v>
      </c>
    </row>
    <row r="206" spans="1:11" x14ac:dyDescent="0.2">
      <c r="A206" s="2" t="s">
        <v>29</v>
      </c>
      <c r="B206" s="2" t="s">
        <v>30</v>
      </c>
      <c r="C206" s="3">
        <v>2006</v>
      </c>
      <c r="D206" s="3">
        <v>19024.622369123179</v>
      </c>
      <c r="E206" s="3">
        <v>-0.13029217720031699</v>
      </c>
      <c r="F206" s="3">
        <v>3.90346002578735</v>
      </c>
      <c r="G206" s="3">
        <v>243</v>
      </c>
      <c r="H206" s="4">
        <v>7601022</v>
      </c>
      <c r="I206" s="3">
        <v>0.44216</v>
      </c>
      <c r="J206" s="3">
        <v>111.0474627538099</v>
      </c>
      <c r="K206" s="3">
        <v>70.77215004668534</v>
      </c>
    </row>
    <row r="207" spans="1:11" x14ac:dyDescent="0.2">
      <c r="A207" s="2" t="s">
        <v>29</v>
      </c>
      <c r="B207" s="2" t="s">
        <v>30</v>
      </c>
      <c r="C207" s="3">
        <v>2007</v>
      </c>
      <c r="D207" s="3">
        <v>20440.337531866549</v>
      </c>
      <c r="E207" s="3">
        <v>-0.121084287762642</v>
      </c>
      <c r="F207" s="3">
        <v>3.6803400516510001</v>
      </c>
      <c r="G207" s="3">
        <v>211</v>
      </c>
      <c r="H207" s="4">
        <v>7545338</v>
      </c>
      <c r="I207" s="3">
        <v>0.43003000000000002</v>
      </c>
      <c r="J207" s="3">
        <v>123.5325576607532</v>
      </c>
      <c r="K207" s="3">
        <v>72.17575585901028</v>
      </c>
    </row>
    <row r="208" spans="1:11" x14ac:dyDescent="0.2">
      <c r="A208" s="2" t="s">
        <v>29</v>
      </c>
      <c r="B208" s="2" t="s">
        <v>30</v>
      </c>
      <c r="C208" s="3">
        <v>2008</v>
      </c>
      <c r="D208" s="3">
        <v>21846.04540728722</v>
      </c>
      <c r="E208" s="3">
        <v>-0.17257727682590501</v>
      </c>
      <c r="F208" s="3">
        <v>4.2190899848937997</v>
      </c>
      <c r="G208" s="3">
        <v>249</v>
      </c>
      <c r="H208" s="4">
        <v>7492561</v>
      </c>
      <c r="I208" s="3">
        <v>0.44730999999999999</v>
      </c>
      <c r="J208" s="3">
        <v>124.6887475153592</v>
      </c>
      <c r="K208" s="3">
        <v>73.49022983193278</v>
      </c>
    </row>
    <row r="209" spans="1:11" x14ac:dyDescent="0.2">
      <c r="A209" s="2" t="s">
        <v>29</v>
      </c>
      <c r="B209" s="2" t="s">
        <v>30</v>
      </c>
      <c r="C209" s="3">
        <v>2009</v>
      </c>
      <c r="D209" s="3">
        <v>21251.305432620011</v>
      </c>
      <c r="E209" s="3">
        <v>7.1481421589851393E-2</v>
      </c>
      <c r="F209" s="3">
        <v>4.2742900848388699</v>
      </c>
      <c r="G209" s="3">
        <v>242</v>
      </c>
      <c r="H209" s="4">
        <v>7444443</v>
      </c>
      <c r="I209" s="3">
        <v>0.49337999999999999</v>
      </c>
      <c r="J209" s="3">
        <v>92.692645603637487</v>
      </c>
      <c r="K209" s="3">
        <v>74.065917413632121</v>
      </c>
    </row>
    <row r="210" spans="1:11" x14ac:dyDescent="0.2">
      <c r="A210" s="2" t="s">
        <v>29</v>
      </c>
      <c r="B210" s="2" t="s">
        <v>30</v>
      </c>
      <c r="C210" s="3">
        <v>2010</v>
      </c>
      <c r="D210" s="3">
        <v>21724.376272686339</v>
      </c>
      <c r="E210" s="3">
        <v>-6.5325461328029605E-2</v>
      </c>
      <c r="F210" s="3">
        <v>3.8574600219726598</v>
      </c>
      <c r="G210" s="3">
        <v>243</v>
      </c>
      <c r="H210" s="4">
        <v>7395599</v>
      </c>
      <c r="I210" s="3">
        <v>0.56298999999999999</v>
      </c>
      <c r="J210" s="3">
        <v>103.3805223211923</v>
      </c>
      <c r="K210" s="3">
        <v>73.987490873015872</v>
      </c>
    </row>
    <row r="211" spans="1:11" x14ac:dyDescent="0.2">
      <c r="A211" s="2" t="s">
        <v>29</v>
      </c>
      <c r="B211" s="2" t="s">
        <v>30</v>
      </c>
      <c r="C211" s="3">
        <v>2011</v>
      </c>
      <c r="D211" s="3">
        <v>22321.125367915731</v>
      </c>
      <c r="E211" s="3">
        <v>-7.1111388504505199E-2</v>
      </c>
      <c r="F211" s="3">
        <v>3.5469000339508101</v>
      </c>
      <c r="G211" s="3">
        <v>262</v>
      </c>
      <c r="H211" s="4">
        <v>7348328</v>
      </c>
      <c r="I211" s="3">
        <v>0.52949999999999997</v>
      </c>
      <c r="J211" s="3">
        <v>117.4181038862901</v>
      </c>
      <c r="K211" s="3">
        <v>74.133120985060685</v>
      </c>
    </row>
    <row r="212" spans="1:11" x14ac:dyDescent="0.2">
      <c r="A212" s="2" t="s">
        <v>29</v>
      </c>
      <c r="B212" s="2" t="s">
        <v>30</v>
      </c>
      <c r="C212" s="3">
        <v>2012</v>
      </c>
      <c r="D212" s="3">
        <v>22618.904049070239</v>
      </c>
      <c r="E212" s="3">
        <v>-2.8386928141117099E-2</v>
      </c>
      <c r="F212" s="3">
        <v>3.4765000343322701</v>
      </c>
      <c r="G212" s="3">
        <v>245</v>
      </c>
      <c r="H212" s="4">
        <v>7305888</v>
      </c>
      <c r="I212" s="3">
        <v>0.60038999999999998</v>
      </c>
      <c r="J212" s="3">
        <v>123.97132271417431</v>
      </c>
      <c r="K212" s="3">
        <v>74.517808053221287</v>
      </c>
    </row>
    <row r="213" spans="1:11" x14ac:dyDescent="0.2">
      <c r="A213" s="2" t="s">
        <v>29</v>
      </c>
      <c r="B213" s="2" t="s">
        <v>30</v>
      </c>
      <c r="C213" s="3">
        <v>2013</v>
      </c>
      <c r="D213" s="3">
        <v>22954.491874308911</v>
      </c>
      <c r="E213" s="3">
        <v>-1.3232986442744701E-2</v>
      </c>
      <c r="F213" s="3">
        <v>4.0576601028442401</v>
      </c>
      <c r="G213" s="3">
        <v>282</v>
      </c>
      <c r="H213" s="4">
        <v>7160005</v>
      </c>
      <c r="I213" s="3">
        <v>0.63424000000000003</v>
      </c>
      <c r="J213" s="3">
        <v>129.68868298648189</v>
      </c>
      <c r="K213" s="3">
        <v>74.572305065359487</v>
      </c>
    </row>
    <row r="214" spans="1:11" x14ac:dyDescent="0.2">
      <c r="A214" s="2" t="s">
        <v>29</v>
      </c>
      <c r="B214" s="2" t="s">
        <v>30</v>
      </c>
      <c r="C214" s="3">
        <v>2014</v>
      </c>
      <c r="D214" s="3">
        <v>23455.58040231339</v>
      </c>
      <c r="E214" s="3">
        <v>-0.112378895282745</v>
      </c>
      <c r="F214" s="2"/>
      <c r="G214" s="3">
        <v>218</v>
      </c>
      <c r="H214" s="4">
        <v>7073572</v>
      </c>
      <c r="I214" s="3">
        <v>0.79007000000000005</v>
      </c>
      <c r="J214" s="3">
        <v>130.24837711524529</v>
      </c>
      <c r="K214" s="3">
        <v>74.637858380018699</v>
      </c>
    </row>
    <row r="215" spans="1:11" x14ac:dyDescent="0.2">
      <c r="A215" s="2" t="s">
        <v>29</v>
      </c>
      <c r="B215" s="2" t="s">
        <v>30</v>
      </c>
      <c r="C215" s="3">
        <v>2015</v>
      </c>
      <c r="D215" s="3">
        <v>24562.750842738002</v>
      </c>
      <c r="E215" s="3">
        <v>-1.2558597140014199E-2</v>
      </c>
      <c r="F215" s="2"/>
      <c r="G215" s="3">
        <v>280</v>
      </c>
      <c r="H215" s="4">
        <v>6984225</v>
      </c>
      <c r="I215" s="3">
        <v>0.94947000000000004</v>
      </c>
      <c r="J215" s="3">
        <v>126.7366422129496</v>
      </c>
      <c r="K215" s="3">
        <v>74.489854785247431</v>
      </c>
    </row>
    <row r="216" spans="1:11" x14ac:dyDescent="0.2">
      <c r="A216" s="2" t="s">
        <v>29</v>
      </c>
      <c r="B216" s="2" t="s">
        <v>30</v>
      </c>
      <c r="C216" s="3">
        <v>2016</v>
      </c>
      <c r="D216" s="3">
        <v>25636.850863413161</v>
      </c>
      <c r="E216" s="3">
        <v>8.8832639157772106E-2</v>
      </c>
      <c r="F216" s="2"/>
      <c r="G216" s="3">
        <v>230</v>
      </c>
      <c r="H216" s="4">
        <v>6894139</v>
      </c>
      <c r="I216" s="3">
        <v>0.77009000000000005</v>
      </c>
      <c r="J216" s="3">
        <v>122.8055143565134</v>
      </c>
      <c r="K216" s="3">
        <v>73.937347735760952</v>
      </c>
    </row>
    <row r="217" spans="1:11" x14ac:dyDescent="0.2">
      <c r="A217" s="2" t="s">
        <v>29</v>
      </c>
      <c r="B217" s="2" t="s">
        <v>30</v>
      </c>
      <c r="C217" s="3">
        <v>2017</v>
      </c>
      <c r="D217" s="3">
        <v>26691.868696312271</v>
      </c>
      <c r="E217" s="3">
        <v>9.8009645938873305E-2</v>
      </c>
      <c r="F217" s="3">
        <v>4.0775599479675302</v>
      </c>
      <c r="G217" s="3">
        <v>202</v>
      </c>
      <c r="H217" s="4">
        <v>6803468</v>
      </c>
      <c r="I217" s="3">
        <v>0.74036999999999997</v>
      </c>
      <c r="J217" s="3">
        <v>129.63442904800371</v>
      </c>
      <c r="K217" s="3">
        <v>74.205833613445392</v>
      </c>
    </row>
    <row r="218" spans="1:11" x14ac:dyDescent="0.2">
      <c r="A218" s="2" t="s">
        <v>29</v>
      </c>
      <c r="B218" s="2" t="s">
        <v>30</v>
      </c>
      <c r="C218" s="3">
        <v>2018</v>
      </c>
      <c r="D218" s="3">
        <v>27691.008923762329</v>
      </c>
      <c r="E218" s="3">
        <v>0.11184884607791901</v>
      </c>
      <c r="F218" s="3">
        <v>4.0520200729370099</v>
      </c>
      <c r="G218" s="3">
        <v>180</v>
      </c>
      <c r="H218" s="4">
        <v>6710798</v>
      </c>
      <c r="I218" s="3">
        <v>0.75412999999999997</v>
      </c>
      <c r="J218" s="3">
        <v>129.16650293063151</v>
      </c>
      <c r="K218" s="3">
        <v>74.727837908496724</v>
      </c>
    </row>
    <row r="219" spans="1:11" x14ac:dyDescent="0.2">
      <c r="A219" s="2" t="s">
        <v>29</v>
      </c>
      <c r="B219" s="2" t="s">
        <v>30</v>
      </c>
      <c r="C219" s="3">
        <v>2019</v>
      </c>
      <c r="D219" s="3">
        <v>29150.042292676349</v>
      </c>
      <c r="E219" s="3">
        <v>0.17370347678661299</v>
      </c>
      <c r="F219" s="3">
        <v>4.2142901420593297</v>
      </c>
      <c r="G219" s="3">
        <v>186</v>
      </c>
      <c r="H219" s="4">
        <v>6616726</v>
      </c>
      <c r="I219" s="3">
        <v>0.83274000000000004</v>
      </c>
      <c r="J219" s="3">
        <v>125.2604183464108</v>
      </c>
      <c r="K219" s="3">
        <v>75.318051563958903</v>
      </c>
    </row>
    <row r="220" spans="1:11" x14ac:dyDescent="0.2">
      <c r="A220" s="2" t="s">
        <v>29</v>
      </c>
      <c r="B220" s="2" t="s">
        <v>30</v>
      </c>
      <c r="C220" s="3">
        <v>2020</v>
      </c>
      <c r="D220" s="3">
        <v>28521.32513267687</v>
      </c>
      <c r="E220" s="3">
        <v>-0.21402783691883101</v>
      </c>
      <c r="F220" s="3">
        <v>4.48297023773193</v>
      </c>
      <c r="G220" s="3">
        <v>239</v>
      </c>
      <c r="H220" s="4">
        <v>6550696</v>
      </c>
      <c r="I220" s="3">
        <v>0.84967000000000004</v>
      </c>
      <c r="J220" s="3">
        <v>110.4238998462493</v>
      </c>
      <c r="K220" s="3">
        <v>75.531856045751624</v>
      </c>
    </row>
    <row r="221" spans="1:11" x14ac:dyDescent="0.2">
      <c r="A221" s="2" t="s">
        <v>29</v>
      </c>
      <c r="B221" s="2" t="s">
        <v>30</v>
      </c>
      <c r="C221" s="3">
        <v>2021</v>
      </c>
      <c r="D221" s="3">
        <v>30959.111845980711</v>
      </c>
      <c r="E221" s="3">
        <v>-0.17344027757644701</v>
      </c>
      <c r="F221" s="3">
        <v>4.7092399597168004</v>
      </c>
      <c r="G221" s="3">
        <v>165</v>
      </c>
      <c r="H221" s="4">
        <v>6507301</v>
      </c>
      <c r="I221" s="3">
        <v>0.77278000000000002</v>
      </c>
      <c r="J221" s="3">
        <v>121.2140882638226</v>
      </c>
      <c r="K221" s="3">
        <v>75.953734243697482</v>
      </c>
    </row>
    <row r="222" spans="1:11" x14ac:dyDescent="0.2">
      <c r="A222" s="2" t="s">
        <v>31</v>
      </c>
      <c r="B222" s="2" t="s">
        <v>32</v>
      </c>
      <c r="C222" s="3">
        <v>2000</v>
      </c>
      <c r="D222" s="3">
        <v>48399.305538935943</v>
      </c>
      <c r="E222" s="3">
        <v>1.8490786552429199</v>
      </c>
      <c r="F222" s="3">
        <v>5.4233198165893501</v>
      </c>
      <c r="G222" s="3">
        <v>4187</v>
      </c>
      <c r="H222" s="4">
        <v>30685730</v>
      </c>
      <c r="I222" s="3">
        <v>1.8584799999999999</v>
      </c>
      <c r="J222" s="3">
        <v>82.765357850321365</v>
      </c>
      <c r="K222" s="3">
        <v>76.207291448094381</v>
      </c>
    </row>
    <row r="223" spans="1:11" x14ac:dyDescent="0.2">
      <c r="A223" s="2" t="s">
        <v>31</v>
      </c>
      <c r="B223" s="2" t="s">
        <v>32</v>
      </c>
      <c r="C223" s="3">
        <v>2001</v>
      </c>
      <c r="D223" s="3">
        <v>48774.167553413827</v>
      </c>
      <c r="E223" s="2"/>
      <c r="F223" s="3">
        <v>4.9530301094055202</v>
      </c>
      <c r="G223" s="3">
        <v>3963</v>
      </c>
      <c r="H223" s="4">
        <v>31020855</v>
      </c>
      <c r="I223" s="3">
        <v>2.0211700000000001</v>
      </c>
      <c r="J223" s="3">
        <v>78.344218394369776</v>
      </c>
      <c r="K223" s="3">
        <v>76.364783630421869</v>
      </c>
    </row>
    <row r="224" spans="1:11" x14ac:dyDescent="0.2">
      <c r="A224" s="2" t="s">
        <v>31</v>
      </c>
      <c r="B224" s="2" t="s">
        <v>32</v>
      </c>
      <c r="C224" s="3">
        <v>2002</v>
      </c>
      <c r="D224" s="3">
        <v>49695.006690986738</v>
      </c>
      <c r="E224" s="3">
        <v>1.86085593700409</v>
      </c>
      <c r="F224" s="3">
        <v>4.9930801391601598</v>
      </c>
      <c r="G224" s="3">
        <v>3959</v>
      </c>
      <c r="H224" s="4">
        <v>31359199</v>
      </c>
      <c r="I224" s="3">
        <v>1.9717100000000001</v>
      </c>
      <c r="J224" s="3">
        <v>75.707032077923273</v>
      </c>
      <c r="K224" s="3">
        <v>76.338991119174949</v>
      </c>
    </row>
    <row r="225" spans="1:11" x14ac:dyDescent="0.2">
      <c r="A225" s="2" t="s">
        <v>31</v>
      </c>
      <c r="B225" s="2" t="s">
        <v>32</v>
      </c>
      <c r="C225" s="3">
        <v>2003</v>
      </c>
      <c r="D225" s="3">
        <v>50139.786234700732</v>
      </c>
      <c r="E225" s="3">
        <v>1.9246799945831301</v>
      </c>
      <c r="F225" s="2"/>
      <c r="G225" s="3">
        <v>3929</v>
      </c>
      <c r="H225" s="4">
        <v>31642461</v>
      </c>
      <c r="I225" s="3">
        <v>1.9678100000000001</v>
      </c>
      <c r="J225" s="3">
        <v>69.840094617060728</v>
      </c>
      <c r="K225" s="3">
        <v>76.344925186741378</v>
      </c>
    </row>
    <row r="226" spans="1:11" x14ac:dyDescent="0.2">
      <c r="A226" s="2" t="s">
        <v>31</v>
      </c>
      <c r="B226" s="2" t="s">
        <v>32</v>
      </c>
      <c r="C226" s="3">
        <v>2004</v>
      </c>
      <c r="D226" s="3">
        <v>51210.679611873529</v>
      </c>
      <c r="E226" s="3">
        <v>1.9006977081298799</v>
      </c>
      <c r="F226" s="2"/>
      <c r="G226" s="3">
        <v>5231</v>
      </c>
      <c r="H226" s="4">
        <v>31938807</v>
      </c>
      <c r="I226" s="3">
        <v>1.9973399999999999</v>
      </c>
      <c r="J226" s="3">
        <v>70.192419990956211</v>
      </c>
      <c r="K226" s="3">
        <v>76.575762267634332</v>
      </c>
    </row>
    <row r="227" spans="1:11" x14ac:dyDescent="0.2">
      <c r="A227" s="2" t="s">
        <v>31</v>
      </c>
      <c r="B227" s="2" t="s">
        <v>32</v>
      </c>
      <c r="C227" s="3">
        <v>2005</v>
      </c>
      <c r="D227" s="3">
        <v>52356.557803853379</v>
      </c>
      <c r="E227" s="3">
        <v>1.8824594020843499</v>
      </c>
      <c r="F227" s="3">
        <v>4.7658801078796396</v>
      </c>
      <c r="G227" s="3">
        <v>5183</v>
      </c>
      <c r="H227" s="4">
        <v>32242732</v>
      </c>
      <c r="I227" s="3">
        <v>1.9712700000000001</v>
      </c>
      <c r="J227" s="3">
        <v>69.759133016735689</v>
      </c>
      <c r="K227" s="3">
        <v>76.702483316356833</v>
      </c>
    </row>
    <row r="228" spans="1:11" x14ac:dyDescent="0.2">
      <c r="A228" s="2" t="s">
        <v>31</v>
      </c>
      <c r="B228" s="2" t="s">
        <v>32</v>
      </c>
      <c r="C228" s="3">
        <v>2006</v>
      </c>
      <c r="D228" s="3">
        <v>53195.781842154967</v>
      </c>
      <c r="E228" s="3">
        <v>1.8921133279800399</v>
      </c>
      <c r="F228" s="2"/>
      <c r="G228" s="3">
        <v>5522</v>
      </c>
      <c r="H228" s="4">
        <v>32571193</v>
      </c>
      <c r="I228" s="3">
        <v>1.9430400000000001</v>
      </c>
      <c r="J228" s="3">
        <v>68.052164476998797</v>
      </c>
      <c r="K228" s="3">
        <v>76.467050583566746</v>
      </c>
    </row>
    <row r="229" spans="1:11" x14ac:dyDescent="0.2">
      <c r="A229" s="2" t="s">
        <v>31</v>
      </c>
      <c r="B229" s="2" t="s">
        <v>32</v>
      </c>
      <c r="C229" s="3">
        <v>2007</v>
      </c>
      <c r="D229" s="3">
        <v>53761.862029811251</v>
      </c>
      <c r="E229" s="3">
        <v>1.75481534004211</v>
      </c>
      <c r="F229" s="3">
        <v>4.7664098739623997</v>
      </c>
      <c r="G229" s="3">
        <v>4998</v>
      </c>
      <c r="H229" s="4">
        <v>32888886</v>
      </c>
      <c r="I229" s="3">
        <v>1.90358</v>
      </c>
      <c r="J229" s="3">
        <v>66.283419748234735</v>
      </c>
      <c r="K229" s="3">
        <v>76.341607792207782</v>
      </c>
    </row>
    <row r="230" spans="1:11" x14ac:dyDescent="0.2">
      <c r="A230" s="2" t="s">
        <v>31</v>
      </c>
      <c r="B230" s="2" t="s">
        <v>32</v>
      </c>
      <c r="C230" s="3">
        <v>2008</v>
      </c>
      <c r="D230" s="3">
        <v>53711.679206497472</v>
      </c>
      <c r="E230" s="3">
        <v>1.78248238563538</v>
      </c>
      <c r="F230" s="3">
        <v>4.62612009048462</v>
      </c>
      <c r="G230" s="3">
        <v>5061</v>
      </c>
      <c r="H230" s="4">
        <v>33247298</v>
      </c>
      <c r="I230" s="3">
        <v>1.85578</v>
      </c>
      <c r="J230" s="3">
        <v>67.023608361898326</v>
      </c>
      <c r="K230" s="3">
        <v>76.619199197860965</v>
      </c>
    </row>
    <row r="231" spans="1:11" x14ac:dyDescent="0.2">
      <c r="A231" s="2" t="s">
        <v>31</v>
      </c>
      <c r="B231" s="2" t="s">
        <v>32</v>
      </c>
      <c r="C231" s="3">
        <v>2009</v>
      </c>
      <c r="D231" s="3">
        <v>51552.422383789519</v>
      </c>
      <c r="E231" s="3">
        <v>1.74208331108093</v>
      </c>
      <c r="F231" s="3">
        <v>4.8405799865722701</v>
      </c>
      <c r="G231" s="3">
        <v>5067</v>
      </c>
      <c r="H231" s="4">
        <v>33630069</v>
      </c>
      <c r="I231" s="3">
        <v>1.9174199999999999</v>
      </c>
      <c r="J231" s="3">
        <v>58.474391822489679</v>
      </c>
      <c r="K231" s="3">
        <v>77.208080269077342</v>
      </c>
    </row>
    <row r="232" spans="1:11" x14ac:dyDescent="0.2">
      <c r="A232" s="2" t="s">
        <v>31</v>
      </c>
      <c r="B232" s="2" t="s">
        <v>32</v>
      </c>
      <c r="C232" s="3">
        <v>2010</v>
      </c>
      <c r="D232" s="3">
        <v>52558.440814216767</v>
      </c>
      <c r="E232" s="3">
        <v>1.77782678604126</v>
      </c>
      <c r="F232" s="3">
        <v>5.3563699722290004</v>
      </c>
      <c r="G232" s="3">
        <v>4550</v>
      </c>
      <c r="H232" s="4">
        <v>34005902</v>
      </c>
      <c r="I232" s="3">
        <v>1.82504</v>
      </c>
      <c r="J232" s="3">
        <v>60.208121504448251</v>
      </c>
      <c r="K232" s="3">
        <v>77.056988555725326</v>
      </c>
    </row>
    <row r="233" spans="1:11" x14ac:dyDescent="0.2">
      <c r="A233" s="2" t="s">
        <v>31</v>
      </c>
      <c r="B233" s="2" t="s">
        <v>32</v>
      </c>
      <c r="C233" s="3">
        <v>2011</v>
      </c>
      <c r="D233" s="3">
        <v>53681.129670056922</v>
      </c>
      <c r="E233" s="3">
        <v>1.7725454568862899</v>
      </c>
      <c r="F233" s="3">
        <v>5.2620501518249503</v>
      </c>
      <c r="G233" s="3">
        <v>4754</v>
      </c>
      <c r="H233" s="4">
        <v>34339221</v>
      </c>
      <c r="I233" s="3">
        <v>1.78714</v>
      </c>
      <c r="J233" s="3">
        <v>62.49873877083283</v>
      </c>
      <c r="K233" s="3">
        <v>77.167002211187494</v>
      </c>
    </row>
    <row r="234" spans="1:11" x14ac:dyDescent="0.2">
      <c r="A234" s="2" t="s">
        <v>31</v>
      </c>
      <c r="B234" s="2" t="s">
        <v>32</v>
      </c>
      <c r="C234" s="3">
        <v>2012</v>
      </c>
      <c r="D234" s="3">
        <v>54034.803475198831</v>
      </c>
      <c r="E234" s="3">
        <v>1.75697004795074</v>
      </c>
      <c r="F234" s="2"/>
      <c r="G234" s="3">
        <v>4709</v>
      </c>
      <c r="H234" s="4">
        <v>34713395</v>
      </c>
      <c r="I234" s="3">
        <v>1.7730399999999999</v>
      </c>
      <c r="J234" s="3">
        <v>62.595548939500489</v>
      </c>
      <c r="K234" s="3">
        <v>77.25486014345131</v>
      </c>
    </row>
    <row r="235" spans="1:11" x14ac:dyDescent="0.2">
      <c r="A235" s="2" t="s">
        <v>31</v>
      </c>
      <c r="B235" s="2" t="s">
        <v>32</v>
      </c>
      <c r="C235" s="3">
        <v>2013</v>
      </c>
      <c r="D235" s="3">
        <v>54712.178423981022</v>
      </c>
      <c r="E235" s="3">
        <v>1.7807410955429099</v>
      </c>
      <c r="F235" s="3">
        <v>4.5890097618103001</v>
      </c>
      <c r="G235" s="3">
        <v>4567</v>
      </c>
      <c r="H235" s="4">
        <v>35080992</v>
      </c>
      <c r="I235" s="3">
        <v>1.70624</v>
      </c>
      <c r="J235" s="3">
        <v>62.231074901340463</v>
      </c>
      <c r="K235" s="3">
        <v>77.352598442407285</v>
      </c>
    </row>
    <row r="236" spans="1:11" x14ac:dyDescent="0.2">
      <c r="A236" s="2" t="s">
        <v>31</v>
      </c>
      <c r="B236" s="2" t="s">
        <v>32</v>
      </c>
      <c r="C236" s="3">
        <v>2014</v>
      </c>
      <c r="D236" s="3">
        <v>55723.483540415917</v>
      </c>
      <c r="E236" s="3">
        <v>1.75371766090393</v>
      </c>
      <c r="F236" s="3">
        <v>4.8435897827148402</v>
      </c>
      <c r="G236" s="3">
        <v>4198</v>
      </c>
      <c r="H236" s="4">
        <v>35434066</v>
      </c>
      <c r="I236" s="3">
        <v>1.7148300000000001</v>
      </c>
      <c r="J236" s="3">
        <v>64.378662156492297</v>
      </c>
      <c r="K236" s="3">
        <v>77.721934566250752</v>
      </c>
    </row>
    <row r="237" spans="1:11" x14ac:dyDescent="0.2">
      <c r="A237" s="2" t="s">
        <v>31</v>
      </c>
      <c r="B237" s="2" t="s">
        <v>32</v>
      </c>
      <c r="C237" s="3">
        <v>2015</v>
      </c>
      <c r="D237" s="3">
        <v>55660.867527261427</v>
      </c>
      <c r="E237" s="3">
        <v>1.7309353351593</v>
      </c>
      <c r="F237" s="3">
        <v>4.7393798828125</v>
      </c>
      <c r="G237" s="3">
        <v>4277</v>
      </c>
      <c r="H237" s="4">
        <v>35704498</v>
      </c>
      <c r="I237" s="3">
        <v>1.6935899999999999</v>
      </c>
      <c r="J237" s="3">
        <v>66.164902066978087</v>
      </c>
      <c r="K237" s="3">
        <v>78.086899847211612</v>
      </c>
    </row>
    <row r="238" spans="1:11" x14ac:dyDescent="0.2">
      <c r="A238" s="2" t="s">
        <v>31</v>
      </c>
      <c r="B238" s="2" t="s">
        <v>32</v>
      </c>
      <c r="C238" s="3">
        <v>2016</v>
      </c>
      <c r="D238" s="3">
        <v>55606.154919194742</v>
      </c>
      <c r="E238" s="3">
        <v>1.7445410490036</v>
      </c>
      <c r="F238" s="3">
        <v>4.8164200782775897</v>
      </c>
      <c r="G238" s="3">
        <v>4078</v>
      </c>
      <c r="H238" s="4">
        <v>36110803</v>
      </c>
      <c r="I238" s="3">
        <v>1.7290300000000001</v>
      </c>
      <c r="J238" s="3">
        <v>65.36368452155557</v>
      </c>
      <c r="K238" s="3">
        <v>78.576815113318062</v>
      </c>
    </row>
    <row r="239" spans="1:11" x14ac:dyDescent="0.2">
      <c r="A239" s="2" t="s">
        <v>31</v>
      </c>
      <c r="B239" s="2" t="s">
        <v>32</v>
      </c>
      <c r="C239" s="3">
        <v>2017</v>
      </c>
      <c r="D239" s="3">
        <v>56612.328536744833</v>
      </c>
      <c r="E239" s="3">
        <v>1.81557297706604</v>
      </c>
      <c r="F239" s="3">
        <v>4.9599699974060103</v>
      </c>
      <c r="G239" s="3">
        <v>4053</v>
      </c>
      <c r="H239" s="4">
        <v>36545075</v>
      </c>
      <c r="I239" s="3">
        <v>1.68702</v>
      </c>
      <c r="J239" s="3">
        <v>65.10106085046489</v>
      </c>
      <c r="K239" s="3">
        <v>78.309130935404482</v>
      </c>
    </row>
    <row r="240" spans="1:11" x14ac:dyDescent="0.2">
      <c r="A240" s="2" t="s">
        <v>31</v>
      </c>
      <c r="B240" s="2" t="s">
        <v>32</v>
      </c>
      <c r="C240" s="3">
        <v>2018</v>
      </c>
      <c r="D240" s="3">
        <v>57337.490909999113</v>
      </c>
      <c r="E240" s="3">
        <v>1.6751339435577399</v>
      </c>
      <c r="F240" s="3">
        <v>4.8889799118042001</v>
      </c>
      <c r="G240" s="3">
        <v>4349</v>
      </c>
      <c r="H240" s="4">
        <v>37072620</v>
      </c>
      <c r="I240" s="3">
        <v>1.7372000000000001</v>
      </c>
      <c r="J240" s="3">
        <v>66.599885850876163</v>
      </c>
      <c r="K240" s="3">
        <v>78.438919690603498</v>
      </c>
    </row>
    <row r="241" spans="1:11" x14ac:dyDescent="0.2">
      <c r="A241" s="2" t="s">
        <v>31</v>
      </c>
      <c r="B241" s="2" t="s">
        <v>32</v>
      </c>
      <c r="C241" s="3">
        <v>2019</v>
      </c>
      <c r="D241" s="3">
        <v>57583.845798092021</v>
      </c>
      <c r="E241" s="3">
        <v>1.69731068611145</v>
      </c>
      <c r="F241" s="3">
        <v>4.7729301452636701</v>
      </c>
      <c r="G241" s="3">
        <v>4238</v>
      </c>
      <c r="H241" s="4">
        <v>37618495</v>
      </c>
      <c r="I241" s="3">
        <v>1.7557799999999999</v>
      </c>
      <c r="J241" s="3">
        <v>66.171485280495929</v>
      </c>
      <c r="K241" s="3">
        <v>78.694257030387902</v>
      </c>
    </row>
    <row r="242" spans="1:11" x14ac:dyDescent="0.2">
      <c r="A242" s="2" t="s">
        <v>31</v>
      </c>
      <c r="B242" s="2" t="s">
        <v>32</v>
      </c>
      <c r="C242" s="3">
        <v>2020</v>
      </c>
      <c r="D242" s="3">
        <v>54092.87903177963</v>
      </c>
      <c r="E242" s="3">
        <v>1.5983128547668499</v>
      </c>
      <c r="F242" s="3">
        <v>4.8879499435424796</v>
      </c>
      <c r="G242" s="3">
        <v>4452</v>
      </c>
      <c r="H242" s="4">
        <v>38028638</v>
      </c>
      <c r="I242" s="3">
        <v>1.93414</v>
      </c>
      <c r="J242" s="3">
        <v>61.156770963276273</v>
      </c>
      <c r="K242" s="3">
        <v>79.369319005177815</v>
      </c>
    </row>
    <row r="243" spans="1:11" x14ac:dyDescent="0.2">
      <c r="A243" s="2" t="s">
        <v>31</v>
      </c>
      <c r="B243" s="2" t="s">
        <v>32</v>
      </c>
      <c r="C243" s="3">
        <v>2021</v>
      </c>
      <c r="D243" s="3">
        <v>56995.117678135117</v>
      </c>
      <c r="E243" s="3">
        <v>1.5614572763443</v>
      </c>
      <c r="F243" s="3">
        <v>4.7486000061035201</v>
      </c>
      <c r="G243" s="3">
        <v>4710</v>
      </c>
      <c r="H243" s="4">
        <v>38239864</v>
      </c>
      <c r="I243" s="3">
        <v>1.8643099999999999</v>
      </c>
      <c r="J243" s="3">
        <v>62.246836715942102</v>
      </c>
      <c r="K243" s="3">
        <v>79.037149011119595</v>
      </c>
    </row>
    <row r="244" spans="1:11" x14ac:dyDescent="0.2">
      <c r="A244" s="2" t="s">
        <v>33</v>
      </c>
      <c r="B244" s="2" t="s">
        <v>34</v>
      </c>
      <c r="C244" s="3">
        <v>2000</v>
      </c>
      <c r="D244" s="3">
        <v>17525.27172734787</v>
      </c>
      <c r="E244" s="3">
        <v>1.00555968284607</v>
      </c>
      <c r="F244" s="3">
        <v>3.75707006454468</v>
      </c>
      <c r="G244" s="3">
        <v>241</v>
      </c>
      <c r="H244" s="4">
        <v>15503635</v>
      </c>
      <c r="I244" s="2"/>
      <c r="J244" s="3">
        <v>58.711923087697251</v>
      </c>
      <c r="K244" s="3">
        <v>70.491239733469143</v>
      </c>
    </row>
    <row r="245" spans="1:11" x14ac:dyDescent="0.2">
      <c r="A245" s="2" t="s">
        <v>33</v>
      </c>
      <c r="B245" s="2" t="s">
        <v>34</v>
      </c>
      <c r="C245" s="3">
        <v>2001</v>
      </c>
      <c r="D245" s="3">
        <v>17870.30083327114</v>
      </c>
      <c r="E245" s="2"/>
      <c r="F245" s="2"/>
      <c r="G245" s="3">
        <v>246</v>
      </c>
      <c r="H245" s="4">
        <v>15683849</v>
      </c>
      <c r="I245" s="2"/>
      <c r="J245" s="3">
        <v>62.144766968764458</v>
      </c>
      <c r="K245" s="3">
        <v>71.069202221797809</v>
      </c>
    </row>
    <row r="246" spans="1:11" x14ac:dyDescent="0.2">
      <c r="A246" s="2" t="s">
        <v>33</v>
      </c>
      <c r="B246" s="2" t="s">
        <v>34</v>
      </c>
      <c r="C246" s="3">
        <v>2002</v>
      </c>
      <c r="D246" s="3">
        <v>18240.201560285721</v>
      </c>
      <c r="E246" s="3">
        <v>1.0784869194030799</v>
      </c>
      <c r="F246" s="3">
        <v>4.0488100051879901</v>
      </c>
      <c r="G246" s="3">
        <v>391</v>
      </c>
      <c r="H246" s="4">
        <v>15857925</v>
      </c>
      <c r="I246" s="2"/>
      <c r="J246" s="3">
        <v>62.483851901629542</v>
      </c>
      <c r="K246" s="3">
        <v>71.664143444953737</v>
      </c>
    </row>
    <row r="247" spans="1:11" x14ac:dyDescent="0.2">
      <c r="A247" s="2" t="s">
        <v>33</v>
      </c>
      <c r="B247" s="2" t="s">
        <v>34</v>
      </c>
      <c r="C247" s="3">
        <v>2003</v>
      </c>
      <c r="D247" s="3">
        <v>18902.87087408056</v>
      </c>
      <c r="E247" s="3">
        <v>1.1002451181411701</v>
      </c>
      <c r="F247" s="3">
        <v>3.91868996620178</v>
      </c>
      <c r="G247" s="3">
        <v>329</v>
      </c>
      <c r="H247" s="4">
        <v>16024752</v>
      </c>
      <c r="I247" s="2"/>
      <c r="J247" s="3">
        <v>65.693419590904981</v>
      </c>
      <c r="K247" s="3">
        <v>72.168241764281476</v>
      </c>
    </row>
    <row r="248" spans="1:11" x14ac:dyDescent="0.2">
      <c r="A248" s="2" t="s">
        <v>33</v>
      </c>
      <c r="B248" s="2" t="s">
        <v>34</v>
      </c>
      <c r="C248" s="3">
        <v>2004</v>
      </c>
      <c r="D248" s="3">
        <v>19961.983579423279</v>
      </c>
      <c r="E248" s="3">
        <v>1.11775302886963</v>
      </c>
      <c r="F248" s="3">
        <v>3.5430700778961199</v>
      </c>
      <c r="G248" s="3">
        <v>382</v>
      </c>
      <c r="H248" s="4">
        <v>16187322</v>
      </c>
      <c r="I248" s="2"/>
      <c r="J248" s="3">
        <v>69.889360053245824</v>
      </c>
      <c r="K248" s="3">
        <v>72.422479479670656</v>
      </c>
    </row>
    <row r="249" spans="1:11" x14ac:dyDescent="0.2">
      <c r="A249" s="2" t="s">
        <v>33</v>
      </c>
      <c r="B249" s="2" t="s">
        <v>34</v>
      </c>
      <c r="C249" s="3">
        <v>2005</v>
      </c>
      <c r="D249" s="3">
        <v>20918.527576068129</v>
      </c>
      <c r="E249" s="3">
        <v>1.1556099653244001</v>
      </c>
      <c r="F249" s="3">
        <v>3.2801699638366699</v>
      </c>
      <c r="G249" s="3">
        <v>361</v>
      </c>
      <c r="H249" s="4">
        <v>16348778</v>
      </c>
      <c r="I249" s="2"/>
      <c r="J249" s="3">
        <v>72.062534238029414</v>
      </c>
      <c r="K249" s="3">
        <v>72.86104126984128</v>
      </c>
    </row>
    <row r="250" spans="1:11" x14ac:dyDescent="0.2">
      <c r="A250" s="2" t="s">
        <v>33</v>
      </c>
      <c r="B250" s="2" t="s">
        <v>34</v>
      </c>
      <c r="C250" s="3">
        <v>2006</v>
      </c>
      <c r="D250" s="3">
        <v>21968.537535585419</v>
      </c>
      <c r="E250" s="3">
        <v>0.93773818016052202</v>
      </c>
      <c r="F250" s="3">
        <v>3.04014992713928</v>
      </c>
      <c r="G250" s="3">
        <v>291</v>
      </c>
      <c r="H250" s="4">
        <v>16509195</v>
      </c>
      <c r="I250" s="2"/>
      <c r="J250" s="3">
        <v>73.711635044852059</v>
      </c>
      <c r="K250" s="3">
        <v>73.447943623206839</v>
      </c>
    </row>
    <row r="251" spans="1:11" x14ac:dyDescent="0.2">
      <c r="A251" s="2" t="s">
        <v>33</v>
      </c>
      <c r="B251" s="2" t="s">
        <v>34</v>
      </c>
      <c r="C251" s="3">
        <v>2007</v>
      </c>
      <c r="D251" s="3">
        <v>22878.883442878901</v>
      </c>
      <c r="E251" s="3">
        <v>1.1867383718490601</v>
      </c>
      <c r="F251" s="3">
        <v>3.2331600189209002</v>
      </c>
      <c r="G251" s="3">
        <v>403</v>
      </c>
      <c r="H251" s="4">
        <v>16671581</v>
      </c>
      <c r="I251" s="3">
        <v>0.31142999999999998</v>
      </c>
      <c r="J251" s="3">
        <v>76.977024714092821</v>
      </c>
      <c r="K251" s="3">
        <v>73.461243648671598</v>
      </c>
    </row>
    <row r="252" spans="1:11" x14ac:dyDescent="0.2">
      <c r="A252" s="2" t="s">
        <v>33</v>
      </c>
      <c r="B252" s="2" t="s">
        <v>34</v>
      </c>
      <c r="C252" s="3">
        <v>2008</v>
      </c>
      <c r="D252" s="3">
        <v>23509.781693144061</v>
      </c>
      <c r="E252" s="3">
        <v>1.0621422529220601</v>
      </c>
      <c r="F252" s="3">
        <v>3.7918999195098899</v>
      </c>
      <c r="G252" s="3">
        <v>531</v>
      </c>
      <c r="H252" s="4">
        <v>16838988</v>
      </c>
      <c r="I252" s="3">
        <v>0.37491999999999998</v>
      </c>
      <c r="J252" s="3">
        <v>80.676626240646797</v>
      </c>
      <c r="K252" s="3">
        <v>73.508310330192685</v>
      </c>
    </row>
    <row r="253" spans="1:11" x14ac:dyDescent="0.2">
      <c r="A253" s="2" t="s">
        <v>33</v>
      </c>
      <c r="B253" s="2" t="s">
        <v>34</v>
      </c>
      <c r="C253" s="3">
        <v>2009</v>
      </c>
      <c r="D253" s="3">
        <v>23013.58178938142</v>
      </c>
      <c r="E253" s="3">
        <v>1.1375715732574501</v>
      </c>
      <c r="F253" s="3">
        <v>4.25475978851318</v>
      </c>
      <c r="G253" s="3">
        <v>343</v>
      </c>
      <c r="H253" s="4">
        <v>17009731</v>
      </c>
      <c r="I253" s="3">
        <v>0.35403000000000001</v>
      </c>
      <c r="J253" s="3">
        <v>66.686030963141789</v>
      </c>
      <c r="K253" s="3">
        <v>74.05083252482811</v>
      </c>
    </row>
    <row r="254" spans="1:11" x14ac:dyDescent="0.2">
      <c r="A254" s="2" t="s">
        <v>33</v>
      </c>
      <c r="B254" s="2" t="s">
        <v>34</v>
      </c>
      <c r="C254" s="3">
        <v>2010</v>
      </c>
      <c r="D254" s="3">
        <v>24116.769471561351</v>
      </c>
      <c r="E254" s="3">
        <v>1.1572418212890601</v>
      </c>
      <c r="F254" s="3">
        <v>4.1895399093627903</v>
      </c>
      <c r="G254" s="3">
        <v>328</v>
      </c>
      <c r="H254" s="4">
        <v>17181464</v>
      </c>
      <c r="I254" s="3">
        <v>0.33165</v>
      </c>
      <c r="J254" s="3">
        <v>69.717680137033753</v>
      </c>
      <c r="K254" s="3">
        <v>74.320668186062306</v>
      </c>
    </row>
    <row r="255" spans="1:11" x14ac:dyDescent="0.2">
      <c r="A255" s="2" t="s">
        <v>33</v>
      </c>
      <c r="B255" s="2" t="s">
        <v>34</v>
      </c>
      <c r="C255" s="3">
        <v>2011</v>
      </c>
      <c r="D255" s="3">
        <v>25366.269024982539</v>
      </c>
      <c r="E255" s="3">
        <v>1.15227234363556</v>
      </c>
      <c r="F255" s="3">
        <v>4.0617299079895002</v>
      </c>
      <c r="G255" s="3">
        <v>339</v>
      </c>
      <c r="H255" s="4">
        <v>17351816</v>
      </c>
      <c r="I255" s="3">
        <v>0.35288000000000003</v>
      </c>
      <c r="J255" s="3">
        <v>72.481642807733408</v>
      </c>
      <c r="K255" s="3">
        <v>74.852544270435459</v>
      </c>
    </row>
    <row r="256" spans="1:11" x14ac:dyDescent="0.2">
      <c r="A256" s="2" t="s">
        <v>33</v>
      </c>
      <c r="B256" s="2" t="s">
        <v>34</v>
      </c>
      <c r="C256" s="3">
        <v>2012</v>
      </c>
      <c r="D256" s="3">
        <v>26670.49713384021</v>
      </c>
      <c r="E256" s="3">
        <v>1.17844355106354</v>
      </c>
      <c r="F256" s="2"/>
      <c r="G256" s="3">
        <v>336</v>
      </c>
      <c r="H256" s="4">
        <v>17519119</v>
      </c>
      <c r="I256" s="3">
        <v>0.36213000000000001</v>
      </c>
      <c r="J256" s="3">
        <v>68.156142891334014</v>
      </c>
      <c r="K256" s="3">
        <v>75.110708159324332</v>
      </c>
    </row>
    <row r="257" spans="1:11" x14ac:dyDescent="0.2">
      <c r="A257" s="2" t="s">
        <v>33</v>
      </c>
      <c r="B257" s="2" t="s">
        <v>34</v>
      </c>
      <c r="C257" s="3">
        <v>2013</v>
      </c>
      <c r="D257" s="3">
        <v>27291.357652595751</v>
      </c>
      <c r="E257" s="3">
        <v>1.15803158283234</v>
      </c>
      <c r="F257" s="3">
        <v>4.5481400489807102</v>
      </c>
      <c r="G257" s="3">
        <v>340</v>
      </c>
      <c r="H257" s="4">
        <v>17687006</v>
      </c>
      <c r="I257" s="3">
        <v>0.39029999999999998</v>
      </c>
      <c r="J257" s="3">
        <v>65.143287952387851</v>
      </c>
      <c r="K257" s="3">
        <v>75.170736987522289</v>
      </c>
    </row>
    <row r="258" spans="1:11" x14ac:dyDescent="0.2">
      <c r="A258" s="2" t="s">
        <v>33</v>
      </c>
      <c r="B258" s="2" t="s">
        <v>34</v>
      </c>
      <c r="C258" s="3">
        <v>2014</v>
      </c>
      <c r="D258" s="3">
        <v>27505.04955241576</v>
      </c>
      <c r="E258" s="3">
        <v>1.0350749492645299</v>
      </c>
      <c r="F258" s="3">
        <v>4.7516798973083496</v>
      </c>
      <c r="G258" s="3">
        <v>452</v>
      </c>
      <c r="H258" s="4">
        <v>17864195</v>
      </c>
      <c r="I258" s="3">
        <v>0.37668000000000001</v>
      </c>
      <c r="J258" s="3">
        <v>65.634628121888738</v>
      </c>
      <c r="K258" s="3">
        <v>75.919300471097529</v>
      </c>
    </row>
    <row r="259" spans="1:11" x14ac:dyDescent="0.2">
      <c r="A259" s="2" t="s">
        <v>33</v>
      </c>
      <c r="B259" s="2" t="s">
        <v>34</v>
      </c>
      <c r="C259" s="3">
        <v>2015</v>
      </c>
      <c r="D259" s="3">
        <v>27811.37451586172</v>
      </c>
      <c r="E259" s="3">
        <v>0.91883558034896895</v>
      </c>
      <c r="F259" s="3">
        <v>4.9039001464843803</v>
      </c>
      <c r="G259" s="3">
        <v>443</v>
      </c>
      <c r="H259" s="4">
        <v>18047625</v>
      </c>
      <c r="I259" s="3">
        <v>0.38296000000000002</v>
      </c>
      <c r="J259" s="3">
        <v>59.349110477530907</v>
      </c>
      <c r="K259" s="3">
        <v>76.407081111535504</v>
      </c>
    </row>
    <row r="260" spans="1:11" x14ac:dyDescent="0.2">
      <c r="A260" s="2" t="s">
        <v>33</v>
      </c>
      <c r="B260" s="2" t="s">
        <v>34</v>
      </c>
      <c r="C260" s="3">
        <v>2016</v>
      </c>
      <c r="D260" s="3">
        <v>27958.728499668221</v>
      </c>
      <c r="E260" s="3">
        <v>0.83384376764297496</v>
      </c>
      <c r="F260" s="3">
        <v>5.3664698600768999</v>
      </c>
      <c r="G260" s="3">
        <v>386</v>
      </c>
      <c r="H260" s="4">
        <v>18267221</v>
      </c>
      <c r="I260" s="3">
        <v>0.37103000000000003</v>
      </c>
      <c r="J260" s="3">
        <v>56.057861087772253</v>
      </c>
      <c r="K260" s="3">
        <v>76.659098457261692</v>
      </c>
    </row>
    <row r="261" spans="1:11" x14ac:dyDescent="0.2">
      <c r="A261" s="2" t="s">
        <v>33</v>
      </c>
      <c r="B261" s="2" t="s">
        <v>34</v>
      </c>
      <c r="C261" s="3">
        <v>2017</v>
      </c>
      <c r="D261" s="3">
        <v>27892.994686282698</v>
      </c>
      <c r="E261" s="3">
        <v>0.80945563316345204</v>
      </c>
      <c r="F261" s="3">
        <v>5.4327898025512704</v>
      </c>
      <c r="G261" s="3">
        <v>425</v>
      </c>
      <c r="H261" s="4">
        <v>18558868</v>
      </c>
      <c r="I261" s="3">
        <v>0.35679</v>
      </c>
      <c r="J261" s="3">
        <v>56.026158967570652</v>
      </c>
      <c r="K261" s="3">
        <v>76.881477408539169</v>
      </c>
    </row>
    <row r="262" spans="1:11" x14ac:dyDescent="0.2">
      <c r="A262" s="2" t="s">
        <v>33</v>
      </c>
      <c r="B262" s="2" t="s">
        <v>34</v>
      </c>
      <c r="C262" s="3">
        <v>2018</v>
      </c>
      <c r="D262" s="3">
        <v>28492.661145651549</v>
      </c>
      <c r="E262" s="3">
        <v>0.90717846155166604</v>
      </c>
      <c r="F262" s="3">
        <v>5.4730601310729998</v>
      </c>
      <c r="G262" s="3">
        <v>406</v>
      </c>
      <c r="H262" s="4">
        <v>18893191</v>
      </c>
      <c r="I262" s="3">
        <v>0.36915999999999999</v>
      </c>
      <c r="J262" s="3">
        <v>58.177050633437027</v>
      </c>
      <c r="K262" s="3">
        <v>77.210031951871656</v>
      </c>
    </row>
    <row r="263" spans="1:11" x14ac:dyDescent="0.2">
      <c r="A263" s="2" t="s">
        <v>33</v>
      </c>
      <c r="B263" s="2" t="s">
        <v>34</v>
      </c>
      <c r="C263" s="3">
        <v>2019</v>
      </c>
      <c r="D263" s="3">
        <v>28218.534387908061</v>
      </c>
      <c r="E263" s="3">
        <v>0.86349862813949596</v>
      </c>
      <c r="F263" s="3">
        <v>5.6263098716735804</v>
      </c>
      <c r="G263" s="3">
        <v>438</v>
      </c>
      <c r="H263" s="4">
        <v>19197744</v>
      </c>
      <c r="I263" s="3">
        <v>0.34243000000000001</v>
      </c>
      <c r="J263" s="3">
        <v>57.611754568082929</v>
      </c>
      <c r="K263" s="3">
        <v>77.94899387361005</v>
      </c>
    </row>
    <row r="264" spans="1:11" x14ac:dyDescent="0.2">
      <c r="A264" s="2" t="s">
        <v>33</v>
      </c>
      <c r="B264" s="2" t="s">
        <v>34</v>
      </c>
      <c r="C264" s="3">
        <v>2020</v>
      </c>
      <c r="D264" s="3">
        <v>26248.561643282472</v>
      </c>
      <c r="E264" s="3">
        <v>0.70504468679428101</v>
      </c>
      <c r="F264" s="3">
        <v>5.6299300193786603</v>
      </c>
      <c r="G264" s="3">
        <v>372</v>
      </c>
      <c r="H264" s="4">
        <v>19370624</v>
      </c>
      <c r="I264" s="3">
        <v>0.33524999999999999</v>
      </c>
      <c r="J264" s="3">
        <v>58.182863562974831</v>
      </c>
      <c r="K264" s="3">
        <v>77.785612929717331</v>
      </c>
    </row>
    <row r="265" spans="1:11" x14ac:dyDescent="0.2">
      <c r="A265" s="2" t="s">
        <v>33</v>
      </c>
      <c r="B265" s="2" t="s">
        <v>34</v>
      </c>
      <c r="C265" s="3">
        <v>2021</v>
      </c>
      <c r="D265" s="3">
        <v>29089.850459727979</v>
      </c>
      <c r="E265" s="3">
        <v>0.59029406309127797</v>
      </c>
      <c r="F265" s="3">
        <v>4.9992399215698198</v>
      </c>
      <c r="G265" s="3">
        <v>402</v>
      </c>
      <c r="H265" s="4">
        <v>19456334</v>
      </c>
      <c r="I265" s="3">
        <v>0.36041000000000001</v>
      </c>
      <c r="J265" s="3">
        <v>64.877406323783433</v>
      </c>
      <c r="K265" s="3">
        <v>77.805213891010951</v>
      </c>
    </row>
    <row r="266" spans="1:11" x14ac:dyDescent="0.2">
      <c r="A266" s="2" t="s">
        <v>35</v>
      </c>
      <c r="B266" s="2" t="s">
        <v>36</v>
      </c>
      <c r="C266" s="3">
        <v>2000</v>
      </c>
      <c r="D266" s="3">
        <v>4066.036270198591</v>
      </c>
      <c r="E266" s="3">
        <v>-0.15884287655353499</v>
      </c>
      <c r="F266" s="2"/>
      <c r="G266" s="3">
        <v>25346</v>
      </c>
      <c r="H266" s="4">
        <v>1262645000</v>
      </c>
      <c r="I266" s="3">
        <v>0.89315999999999995</v>
      </c>
      <c r="J266" s="3">
        <v>39.010942477499839</v>
      </c>
      <c r="K266" s="3">
        <v>61.45947162069956</v>
      </c>
    </row>
    <row r="267" spans="1:11" x14ac:dyDescent="0.2">
      <c r="A267" s="2" t="s">
        <v>35</v>
      </c>
      <c r="B267" s="2" t="s">
        <v>36</v>
      </c>
      <c r="C267" s="3">
        <v>2001</v>
      </c>
      <c r="D267" s="3">
        <v>4372.1570557993409</v>
      </c>
      <c r="E267" s="2"/>
      <c r="F267" s="2"/>
      <c r="G267" s="3">
        <v>30038</v>
      </c>
      <c r="H267" s="4">
        <v>1271850000</v>
      </c>
      <c r="I267" s="3">
        <v>0.94033</v>
      </c>
      <c r="J267" s="3">
        <v>38.082646951833453</v>
      </c>
      <c r="K267" s="3">
        <v>61.64392811893989</v>
      </c>
    </row>
    <row r="268" spans="1:11" x14ac:dyDescent="0.2">
      <c r="A268" s="2" t="s">
        <v>35</v>
      </c>
      <c r="B268" s="2" t="s">
        <v>36</v>
      </c>
      <c r="C268" s="3">
        <v>2002</v>
      </c>
      <c r="D268" s="3">
        <v>4744.3985507979442</v>
      </c>
      <c r="E268" s="3">
        <v>-0.123097203671932</v>
      </c>
      <c r="F268" s="2"/>
      <c r="G268" s="3">
        <v>39806</v>
      </c>
      <c r="H268" s="4">
        <v>1280400000</v>
      </c>
      <c r="I268" s="3">
        <v>1.05786</v>
      </c>
      <c r="J268" s="3">
        <v>42.194442338741283</v>
      </c>
      <c r="K268" s="3">
        <v>61.763936504345317</v>
      </c>
    </row>
    <row r="269" spans="1:11" x14ac:dyDescent="0.2">
      <c r="A269" s="2" t="s">
        <v>35</v>
      </c>
      <c r="B269" s="2" t="s">
        <v>36</v>
      </c>
      <c r="C269" s="3">
        <v>2003</v>
      </c>
      <c r="D269" s="3">
        <v>5192.0060460858713</v>
      </c>
      <c r="E269" s="3">
        <v>-0.14758729934692399</v>
      </c>
      <c r="F269" s="2"/>
      <c r="G269" s="3">
        <v>56769</v>
      </c>
      <c r="H269" s="4">
        <v>1288400000</v>
      </c>
      <c r="I269" s="3">
        <v>1.1203700000000001</v>
      </c>
      <c r="J269" s="3">
        <v>51.077480130180312</v>
      </c>
      <c r="K269" s="3">
        <v>61.832233362062773</v>
      </c>
    </row>
    <row r="270" spans="1:11" x14ac:dyDescent="0.2">
      <c r="A270" s="2" t="s">
        <v>35</v>
      </c>
      <c r="B270" s="2" t="s">
        <v>36</v>
      </c>
      <c r="C270" s="3">
        <v>2004</v>
      </c>
      <c r="D270" s="3">
        <v>5684.1687305098139</v>
      </c>
      <c r="E270" s="3">
        <v>-0.10993038862943599</v>
      </c>
      <c r="F270" s="2"/>
      <c r="G270" s="3">
        <v>65786</v>
      </c>
      <c r="H270" s="4">
        <v>1296075000</v>
      </c>
      <c r="I270" s="3">
        <v>1.2149799999999999</v>
      </c>
      <c r="J270" s="3">
        <v>58.640334040843889</v>
      </c>
      <c r="K270" s="3">
        <v>62.161917266393743</v>
      </c>
    </row>
    <row r="271" spans="1:11" x14ac:dyDescent="0.2">
      <c r="A271" s="2" t="s">
        <v>35</v>
      </c>
      <c r="B271" s="2" t="s">
        <v>36</v>
      </c>
      <c r="C271" s="3">
        <v>2005</v>
      </c>
      <c r="D271" s="3">
        <v>6298.323184745158</v>
      </c>
      <c r="E271" s="3">
        <v>-0.14064049720764199</v>
      </c>
      <c r="F271" s="2"/>
      <c r="G271" s="3">
        <v>93485</v>
      </c>
      <c r="H271" s="4">
        <v>1303720000</v>
      </c>
      <c r="I271" s="3">
        <v>1.30792</v>
      </c>
      <c r="J271" s="3">
        <v>61.360074940823672</v>
      </c>
      <c r="K271" s="3">
        <v>63.065837662500897</v>
      </c>
    </row>
    <row r="272" spans="1:11" x14ac:dyDescent="0.2">
      <c r="A272" s="2" t="s">
        <v>35</v>
      </c>
      <c r="B272" s="2" t="s">
        <v>36</v>
      </c>
      <c r="C272" s="3">
        <v>2006</v>
      </c>
      <c r="D272" s="3">
        <v>7057.0999333164609</v>
      </c>
      <c r="E272" s="3">
        <v>3.5788014531135601E-2</v>
      </c>
      <c r="F272" s="2"/>
      <c r="G272" s="3">
        <v>122318</v>
      </c>
      <c r="H272" s="4">
        <v>1311020000</v>
      </c>
      <c r="I272" s="3">
        <v>1.3685400000000001</v>
      </c>
      <c r="J272" s="3">
        <v>63.569579862162733</v>
      </c>
      <c r="K272" s="3">
        <v>63.520313958916901</v>
      </c>
    </row>
    <row r="273" spans="1:11" x14ac:dyDescent="0.2">
      <c r="A273" s="2" t="s">
        <v>35</v>
      </c>
      <c r="B273" s="2" t="s">
        <v>36</v>
      </c>
      <c r="C273" s="3">
        <v>2007</v>
      </c>
      <c r="D273" s="3">
        <v>8013.7156830224749</v>
      </c>
      <c r="E273" s="3">
        <v>0.16599737107753801</v>
      </c>
      <c r="F273" s="2"/>
      <c r="G273" s="3">
        <v>153060</v>
      </c>
      <c r="H273" s="4">
        <v>1317885000</v>
      </c>
      <c r="I273" s="3">
        <v>1.3736900000000001</v>
      </c>
      <c r="J273" s="3">
        <v>61.266464000617582</v>
      </c>
      <c r="K273" s="3">
        <v>64.35274335272571</v>
      </c>
    </row>
    <row r="274" spans="1:11" x14ac:dyDescent="0.2">
      <c r="A274" s="2" t="s">
        <v>35</v>
      </c>
      <c r="B274" s="2" t="s">
        <v>36</v>
      </c>
      <c r="C274" s="3">
        <v>2008</v>
      </c>
      <c r="D274" s="3">
        <v>8743.744912321883</v>
      </c>
      <c r="E274" s="3">
        <v>0.165779024362564</v>
      </c>
      <c r="F274" s="2"/>
      <c r="G274" s="3">
        <v>194579</v>
      </c>
      <c r="H274" s="4">
        <v>1324655000</v>
      </c>
      <c r="I274" s="3">
        <v>1.4459200000000001</v>
      </c>
      <c r="J274" s="3">
        <v>56.711133000320892</v>
      </c>
      <c r="K274" s="3">
        <v>64.159687599655243</v>
      </c>
    </row>
    <row r="275" spans="1:11" x14ac:dyDescent="0.2">
      <c r="A275" s="2" t="s">
        <v>35</v>
      </c>
      <c r="B275" s="2" t="s">
        <v>36</v>
      </c>
      <c r="C275" s="3">
        <v>2009</v>
      </c>
      <c r="D275" s="3">
        <v>9518.4321473720393</v>
      </c>
      <c r="E275" s="3">
        <v>9.3242049217224093E-2</v>
      </c>
      <c r="F275" s="2"/>
      <c r="G275" s="3">
        <v>229096</v>
      </c>
      <c r="H275" s="4">
        <v>1331260000</v>
      </c>
      <c r="I275" s="3">
        <v>1.6648000000000001</v>
      </c>
      <c r="J275" s="3">
        <v>44.419764433111943</v>
      </c>
      <c r="K275" s="3">
        <v>64.702124703727662</v>
      </c>
    </row>
    <row r="276" spans="1:11" x14ac:dyDescent="0.2">
      <c r="A276" s="2" t="s">
        <v>35</v>
      </c>
      <c r="B276" s="2" t="s">
        <v>36</v>
      </c>
      <c r="C276" s="3">
        <v>2010</v>
      </c>
      <c r="D276" s="3">
        <v>10476.312363045099</v>
      </c>
      <c r="E276" s="3">
        <v>9.1844856739044203E-2</v>
      </c>
      <c r="F276" s="2"/>
      <c r="G276" s="3">
        <v>293066</v>
      </c>
      <c r="H276" s="4">
        <v>1337705000</v>
      </c>
      <c r="I276" s="3">
        <v>1.7137199999999999</v>
      </c>
      <c r="J276" s="3">
        <v>49.854072233897739</v>
      </c>
      <c r="K276" s="3">
        <v>65.277019988508215</v>
      </c>
    </row>
    <row r="277" spans="1:11" x14ac:dyDescent="0.2">
      <c r="A277" s="2" t="s">
        <v>35</v>
      </c>
      <c r="B277" s="2" t="s">
        <v>36</v>
      </c>
      <c r="C277" s="3">
        <v>2011</v>
      </c>
      <c r="D277" s="3">
        <v>11405.017284561731</v>
      </c>
      <c r="E277" s="3">
        <v>8.3608709275722504E-2</v>
      </c>
      <c r="F277" s="2"/>
      <c r="G277" s="3">
        <v>415829</v>
      </c>
      <c r="H277" s="4">
        <v>1345035000</v>
      </c>
      <c r="I277" s="3">
        <v>1.78034</v>
      </c>
      <c r="J277" s="3">
        <v>49.945827225364312</v>
      </c>
      <c r="K277" s="3">
        <v>66.407899639086395</v>
      </c>
    </row>
    <row r="278" spans="1:11" x14ac:dyDescent="0.2">
      <c r="A278" s="2" t="s">
        <v>35</v>
      </c>
      <c r="B278" s="2" t="s">
        <v>36</v>
      </c>
      <c r="C278" s="3">
        <v>2012</v>
      </c>
      <c r="D278" s="3">
        <v>12217.8543175465</v>
      </c>
      <c r="E278" s="3">
        <v>1.5367764048278301E-2</v>
      </c>
      <c r="F278" s="2"/>
      <c r="G278" s="3">
        <v>535313</v>
      </c>
      <c r="H278" s="4">
        <v>1354190000</v>
      </c>
      <c r="I278" s="3">
        <v>1.91214</v>
      </c>
      <c r="J278" s="3">
        <v>47.480213078431717</v>
      </c>
      <c r="K278" s="3">
        <v>67.275846178984409</v>
      </c>
    </row>
    <row r="279" spans="1:11" x14ac:dyDescent="0.2">
      <c r="A279" s="2" t="s">
        <v>35</v>
      </c>
      <c r="B279" s="2" t="s">
        <v>36</v>
      </c>
      <c r="C279" s="3">
        <v>2013</v>
      </c>
      <c r="D279" s="3">
        <v>13080.82881626676</v>
      </c>
      <c r="E279" s="3">
        <v>-5.1206895150244201E-3</v>
      </c>
      <c r="F279" s="2"/>
      <c r="G279" s="3">
        <v>704936</v>
      </c>
      <c r="H279" s="4">
        <v>1363240000</v>
      </c>
      <c r="I279" s="3">
        <v>1.99786</v>
      </c>
      <c r="J279" s="3">
        <v>45.916041379557107</v>
      </c>
      <c r="K279" s="3">
        <v>68.50821593406593</v>
      </c>
    </row>
    <row r="280" spans="1:11" x14ac:dyDescent="0.2">
      <c r="A280" s="2" t="s">
        <v>35</v>
      </c>
      <c r="B280" s="2" t="s">
        <v>36</v>
      </c>
      <c r="C280" s="3">
        <v>2014</v>
      </c>
      <c r="D280" s="3">
        <v>13968.581485523961</v>
      </c>
      <c r="E280" s="3">
        <v>0.35485163331031799</v>
      </c>
      <c r="F280" s="2"/>
      <c r="G280" s="3">
        <v>801135</v>
      </c>
      <c r="H280" s="4">
        <v>1371860000</v>
      </c>
      <c r="I280" s="3">
        <v>2.0224299999999999</v>
      </c>
      <c r="J280" s="3">
        <v>44.068456481253172</v>
      </c>
      <c r="K280" s="3">
        <v>69.478081342023998</v>
      </c>
    </row>
    <row r="281" spans="1:11" x14ac:dyDescent="0.2">
      <c r="A281" s="2" t="s">
        <v>35</v>
      </c>
      <c r="B281" s="2" t="s">
        <v>36</v>
      </c>
      <c r="C281" s="3">
        <v>2015</v>
      </c>
      <c r="D281" s="3">
        <v>14856.78076044614</v>
      </c>
      <c r="E281" s="3">
        <v>0.41742300987243702</v>
      </c>
      <c r="F281" s="2"/>
      <c r="G281" s="3">
        <v>968252</v>
      </c>
      <c r="H281" s="4">
        <v>1379860000</v>
      </c>
      <c r="I281" s="3">
        <v>2.05701</v>
      </c>
      <c r="J281" s="3">
        <v>38.697184836262473</v>
      </c>
      <c r="K281" s="3">
        <v>70.429466420670821</v>
      </c>
    </row>
    <row r="282" spans="1:11" x14ac:dyDescent="0.2">
      <c r="A282" s="2" t="s">
        <v>35</v>
      </c>
      <c r="B282" s="2" t="s">
        <v>36</v>
      </c>
      <c r="C282" s="3">
        <v>2016</v>
      </c>
      <c r="D282" s="3">
        <v>15772.76475986956</v>
      </c>
      <c r="E282" s="3">
        <v>0.35638377070426902</v>
      </c>
      <c r="F282" s="2"/>
      <c r="G282" s="3">
        <v>1204981</v>
      </c>
      <c r="H282" s="4">
        <v>1387790000</v>
      </c>
      <c r="I282" s="3">
        <v>2.10033</v>
      </c>
      <c r="J282" s="3">
        <v>36.177170692978002</v>
      </c>
      <c r="K282" s="3">
        <v>71.02107681534153</v>
      </c>
    </row>
    <row r="283" spans="1:11" x14ac:dyDescent="0.2">
      <c r="A283" s="2" t="s">
        <v>35</v>
      </c>
      <c r="B283" s="2" t="s">
        <v>36</v>
      </c>
      <c r="C283" s="3">
        <v>2017</v>
      </c>
      <c r="D283" s="3">
        <v>16757.973631866189</v>
      </c>
      <c r="E283" s="3">
        <v>0.416875630617142</v>
      </c>
      <c r="F283" s="2"/>
      <c r="G283" s="3">
        <v>1245709</v>
      </c>
      <c r="H283" s="4">
        <v>1396215000</v>
      </c>
      <c r="I283" s="3">
        <v>2.1160299999999999</v>
      </c>
      <c r="J283" s="3">
        <v>36.950852615859972</v>
      </c>
      <c r="K283" s="3">
        <v>71.333682412195643</v>
      </c>
    </row>
    <row r="284" spans="1:11" x14ac:dyDescent="0.2">
      <c r="A284" s="2" t="s">
        <v>35</v>
      </c>
      <c r="B284" s="2" t="s">
        <v>36</v>
      </c>
      <c r="C284" s="3">
        <v>2018</v>
      </c>
      <c r="D284" s="3">
        <v>17806.790234972472</v>
      </c>
      <c r="E284" s="3">
        <v>0.49667844176292397</v>
      </c>
      <c r="F284" s="2"/>
      <c r="G284" s="3">
        <v>1393815</v>
      </c>
      <c r="H284" s="4">
        <v>1402760000</v>
      </c>
      <c r="I284" s="3">
        <v>2.1405799999999999</v>
      </c>
      <c r="J284" s="3">
        <v>36.894384391471853</v>
      </c>
      <c r="K284" s="3">
        <v>72.009153903612727</v>
      </c>
    </row>
    <row r="285" spans="1:11" x14ac:dyDescent="0.2">
      <c r="A285" s="2" t="s">
        <v>35</v>
      </c>
      <c r="B285" s="2" t="s">
        <v>36</v>
      </c>
      <c r="C285" s="3">
        <v>2019</v>
      </c>
      <c r="D285" s="3">
        <v>18820.513103364621</v>
      </c>
      <c r="E285" s="3">
        <v>0.54486250877380404</v>
      </c>
      <c r="F285" s="2"/>
      <c r="G285" s="3">
        <v>1243568</v>
      </c>
      <c r="H285" s="4">
        <v>1407745000</v>
      </c>
      <c r="I285" s="3">
        <v>2.2446299999999999</v>
      </c>
      <c r="J285" s="3">
        <v>35.199420273883653</v>
      </c>
      <c r="K285" s="3">
        <v>72.578420739064853</v>
      </c>
    </row>
    <row r="286" spans="1:11" x14ac:dyDescent="0.2">
      <c r="A286" s="2" t="s">
        <v>35</v>
      </c>
      <c r="B286" s="2" t="s">
        <v>36</v>
      </c>
      <c r="C286" s="3">
        <v>2020</v>
      </c>
      <c r="D286" s="3">
        <v>19215.15417034653</v>
      </c>
      <c r="E286" s="3">
        <v>0.64397168159484897</v>
      </c>
      <c r="F286" s="2"/>
      <c r="G286" s="3">
        <v>1344817</v>
      </c>
      <c r="H286" s="4">
        <v>1411100000</v>
      </c>
      <c r="I286" s="3">
        <v>2.40666</v>
      </c>
      <c r="J286" s="3">
        <v>34.038950786458088</v>
      </c>
      <c r="K286" s="3">
        <v>73.185199885082241</v>
      </c>
    </row>
    <row r="287" spans="1:11" x14ac:dyDescent="0.2">
      <c r="A287" s="2" t="s">
        <v>35</v>
      </c>
      <c r="B287" s="2" t="s">
        <v>36</v>
      </c>
      <c r="C287" s="3">
        <v>2021</v>
      </c>
      <c r="D287" s="3">
        <v>20843.297834737648</v>
      </c>
      <c r="E287" s="3">
        <v>0.80791163444518999</v>
      </c>
      <c r="F287" s="2"/>
      <c r="G287" s="3">
        <v>1426644</v>
      </c>
      <c r="H287" s="4">
        <v>1412360000</v>
      </c>
      <c r="I287" s="3">
        <v>2.4325999999999999</v>
      </c>
      <c r="J287" s="3">
        <v>36.520691176267633</v>
      </c>
      <c r="K287" s="3">
        <v>73.985571236443292</v>
      </c>
    </row>
    <row r="288" spans="1:11" x14ac:dyDescent="0.2">
      <c r="A288" s="2" t="s">
        <v>37</v>
      </c>
      <c r="B288" s="2" t="s">
        <v>38</v>
      </c>
      <c r="C288" s="3">
        <v>2000</v>
      </c>
      <c r="D288" s="3">
        <v>10813.49422500105</v>
      </c>
      <c r="E288" s="3">
        <v>-0.40307581424713101</v>
      </c>
      <c r="F288" s="3">
        <v>3.5112099647521999</v>
      </c>
      <c r="G288" s="3">
        <v>75</v>
      </c>
      <c r="H288" s="4">
        <v>39089934</v>
      </c>
      <c r="I288" s="3">
        <v>0.13106000000000001</v>
      </c>
      <c r="J288" s="3">
        <v>32.66708546930672</v>
      </c>
      <c r="K288" s="3">
        <v>62.163172538409299</v>
      </c>
    </row>
    <row r="289" spans="1:11" x14ac:dyDescent="0.2">
      <c r="A289" s="2" t="s">
        <v>37</v>
      </c>
      <c r="B289" s="2" t="s">
        <v>38</v>
      </c>
      <c r="C289" s="3">
        <v>2001</v>
      </c>
      <c r="D289" s="3">
        <v>10823.450487880729</v>
      </c>
      <c r="E289" s="2"/>
      <c r="F289" s="3">
        <v>3.70867991447449</v>
      </c>
      <c r="G289" s="3">
        <v>65</v>
      </c>
      <c r="H289" s="4">
        <v>39709262</v>
      </c>
      <c r="I289" s="3">
        <v>0.13289999999999999</v>
      </c>
      <c r="J289" s="3">
        <v>33.901111794944462</v>
      </c>
      <c r="K289" s="3">
        <v>62.12426392496392</v>
      </c>
    </row>
    <row r="290" spans="1:11" x14ac:dyDescent="0.2">
      <c r="A290" s="2" t="s">
        <v>37</v>
      </c>
      <c r="B290" s="2" t="s">
        <v>38</v>
      </c>
      <c r="C290" s="3">
        <v>2002</v>
      </c>
      <c r="D290" s="3">
        <v>10925.14856020823</v>
      </c>
      <c r="E290" s="3">
        <v>-0.48790758848190302</v>
      </c>
      <c r="F290" s="3">
        <v>4.2681298255920401</v>
      </c>
      <c r="G290" s="3">
        <v>54</v>
      </c>
      <c r="H290" s="4">
        <v>40324680</v>
      </c>
      <c r="I290" s="3">
        <v>0.15559000000000001</v>
      </c>
      <c r="J290" s="3">
        <v>32.982639214423429</v>
      </c>
      <c r="K290" s="3">
        <v>63.929592869875222</v>
      </c>
    </row>
    <row r="291" spans="1:11" x14ac:dyDescent="0.2">
      <c r="A291" s="2" t="s">
        <v>37</v>
      </c>
      <c r="B291" s="2" t="s">
        <v>38</v>
      </c>
      <c r="C291" s="3">
        <v>2003</v>
      </c>
      <c r="D291" s="3">
        <v>11183.291181979341</v>
      </c>
      <c r="E291" s="3">
        <v>-0.221860736608505</v>
      </c>
      <c r="F291" s="3">
        <v>4.3251399993896502</v>
      </c>
      <c r="G291" s="3">
        <v>82</v>
      </c>
      <c r="H291" s="4">
        <v>40937429</v>
      </c>
      <c r="I291" s="3">
        <v>0.17398</v>
      </c>
      <c r="J291" s="3">
        <v>36.516183517229983</v>
      </c>
      <c r="K291" s="3">
        <v>64.011543430099323</v>
      </c>
    </row>
    <row r="292" spans="1:11" x14ac:dyDescent="0.2">
      <c r="A292" s="2" t="s">
        <v>37</v>
      </c>
      <c r="B292" s="2" t="s">
        <v>38</v>
      </c>
      <c r="C292" s="3">
        <v>2004</v>
      </c>
      <c r="D292" s="3">
        <v>11607.93849351049</v>
      </c>
      <c r="E292" s="3">
        <v>-0.215896517038345</v>
      </c>
      <c r="F292" s="3">
        <v>4.0793499946594203</v>
      </c>
      <c r="G292" s="3">
        <v>76</v>
      </c>
      <c r="H292" s="4">
        <v>41543171</v>
      </c>
      <c r="I292" s="3">
        <v>0.16964000000000001</v>
      </c>
      <c r="J292" s="3">
        <v>35.863426933799502</v>
      </c>
      <c r="K292" s="3">
        <v>63.993814457601218</v>
      </c>
    </row>
    <row r="293" spans="1:11" x14ac:dyDescent="0.2">
      <c r="A293" s="2" t="s">
        <v>37</v>
      </c>
      <c r="B293" s="2" t="s">
        <v>38</v>
      </c>
      <c r="C293" s="3">
        <v>2005</v>
      </c>
      <c r="D293" s="3">
        <v>11999.254959130451</v>
      </c>
      <c r="E293" s="3">
        <v>-0.197672158479691</v>
      </c>
      <c r="F293" s="3">
        <v>4.0209898948669398</v>
      </c>
      <c r="G293" s="3">
        <v>99</v>
      </c>
      <c r="H293" s="4">
        <v>42128977</v>
      </c>
      <c r="I293" s="3">
        <v>0.16556999999999999</v>
      </c>
      <c r="J293" s="3">
        <v>37.422697494955003</v>
      </c>
      <c r="K293" s="3">
        <v>65.769067180205425</v>
      </c>
    </row>
    <row r="294" spans="1:11" x14ac:dyDescent="0.2">
      <c r="A294" s="2" t="s">
        <v>37</v>
      </c>
      <c r="B294" s="2" t="s">
        <v>38</v>
      </c>
      <c r="C294" s="3">
        <v>2006</v>
      </c>
      <c r="D294" s="3">
        <v>12636.624657772411</v>
      </c>
      <c r="E294" s="3">
        <v>-0.19151610136032099</v>
      </c>
      <c r="F294" s="3">
        <v>3.91671991348267</v>
      </c>
      <c r="G294" s="3">
        <v>142</v>
      </c>
      <c r="H294" s="4">
        <v>42691084</v>
      </c>
      <c r="I294" s="3">
        <v>0.16427</v>
      </c>
      <c r="J294" s="3">
        <v>39.64135596062934</v>
      </c>
      <c r="K294" s="3">
        <v>66.122792165350987</v>
      </c>
    </row>
    <row r="295" spans="1:11" x14ac:dyDescent="0.2">
      <c r="A295" s="2" t="s">
        <v>37</v>
      </c>
      <c r="B295" s="2" t="s">
        <v>38</v>
      </c>
      <c r="C295" s="3">
        <v>2007</v>
      </c>
      <c r="D295" s="3">
        <v>13318.303313816759</v>
      </c>
      <c r="E295" s="3">
        <v>-5.0221379846334499E-2</v>
      </c>
      <c r="F295" s="3">
        <v>4.0830101966857901</v>
      </c>
      <c r="G295" s="3">
        <v>128</v>
      </c>
      <c r="H295" s="4">
        <v>43235374</v>
      </c>
      <c r="I295" s="3">
        <v>0.18307000000000001</v>
      </c>
      <c r="J295" s="3">
        <v>37.098897098290337</v>
      </c>
      <c r="K295" s="3">
        <v>66.303966581784238</v>
      </c>
    </row>
    <row r="296" spans="1:11" x14ac:dyDescent="0.2">
      <c r="A296" s="2" t="s">
        <v>37</v>
      </c>
      <c r="B296" s="2" t="s">
        <v>38</v>
      </c>
      <c r="C296" s="3">
        <v>2008</v>
      </c>
      <c r="D296" s="3">
        <v>13591.060902856671</v>
      </c>
      <c r="E296" s="3">
        <v>-2.5623215362429601E-2</v>
      </c>
      <c r="F296" s="3">
        <v>3.9387800693511998</v>
      </c>
      <c r="G296" s="3">
        <v>126</v>
      </c>
      <c r="H296" s="4">
        <v>43758808</v>
      </c>
      <c r="I296" s="3">
        <v>0.19541</v>
      </c>
      <c r="J296" s="3">
        <v>39.167649416435488</v>
      </c>
      <c r="K296" s="3">
        <v>65.861582815550463</v>
      </c>
    </row>
    <row r="297" spans="1:11" x14ac:dyDescent="0.2">
      <c r="A297" s="2" t="s">
        <v>37</v>
      </c>
      <c r="B297" s="2" t="s">
        <v>38</v>
      </c>
      <c r="C297" s="3">
        <v>2009</v>
      </c>
      <c r="D297" s="3">
        <v>13586.75184309816</v>
      </c>
      <c r="E297" s="3">
        <v>-0.300557911396027</v>
      </c>
      <c r="F297" s="3">
        <v>4.7765197753906197</v>
      </c>
      <c r="G297" s="3">
        <v>128</v>
      </c>
      <c r="H297" s="4">
        <v>44271541</v>
      </c>
      <c r="I297" s="3">
        <v>0.19350999999999999</v>
      </c>
      <c r="J297" s="3">
        <v>35.156128507458533</v>
      </c>
      <c r="K297" s="3">
        <v>66.079040081487136</v>
      </c>
    </row>
    <row r="298" spans="1:11" x14ac:dyDescent="0.2">
      <c r="A298" s="2" t="s">
        <v>37</v>
      </c>
      <c r="B298" s="2" t="s">
        <v>38</v>
      </c>
      <c r="C298" s="3">
        <v>2010</v>
      </c>
      <c r="D298" s="3">
        <v>14037.06426686389</v>
      </c>
      <c r="E298" s="3">
        <v>-0.123824141919613</v>
      </c>
      <c r="F298" s="3">
        <v>4.8338298797607404</v>
      </c>
      <c r="G298" s="3">
        <v>133</v>
      </c>
      <c r="H298" s="4">
        <v>44777319</v>
      </c>
      <c r="I298" s="3">
        <v>0.19358</v>
      </c>
      <c r="J298" s="3">
        <v>34.264603168768147</v>
      </c>
      <c r="K298" s="3">
        <v>66.722746566505393</v>
      </c>
    </row>
    <row r="299" spans="1:11" x14ac:dyDescent="0.2">
      <c r="A299" s="2" t="s">
        <v>37</v>
      </c>
      <c r="B299" s="2" t="s">
        <v>38</v>
      </c>
      <c r="C299" s="3">
        <v>2011</v>
      </c>
      <c r="D299" s="3">
        <v>14852.369951306109</v>
      </c>
      <c r="E299" s="3">
        <v>-5.0426963716745397E-2</v>
      </c>
      <c r="F299" s="3">
        <v>4.4660801887512198</v>
      </c>
      <c r="G299" s="3">
        <v>183</v>
      </c>
      <c r="H299" s="4">
        <v>45259614</v>
      </c>
      <c r="I299" s="3">
        <v>0.19842000000000001</v>
      </c>
      <c r="J299" s="3">
        <v>39.470423554536737</v>
      </c>
      <c r="K299" s="3">
        <v>67.55564493888464</v>
      </c>
    </row>
    <row r="300" spans="1:11" x14ac:dyDescent="0.2">
      <c r="A300" s="2" t="s">
        <v>37</v>
      </c>
      <c r="B300" s="2" t="s">
        <v>38</v>
      </c>
      <c r="C300" s="3">
        <v>2012</v>
      </c>
      <c r="D300" s="3">
        <v>15279.47900080579</v>
      </c>
      <c r="E300" s="3">
        <v>-1.1649925727397199E-3</v>
      </c>
      <c r="F300" s="3">
        <v>4.3703899383544904</v>
      </c>
      <c r="G300" s="3">
        <v>213</v>
      </c>
      <c r="H300" s="4">
        <v>45715810</v>
      </c>
      <c r="I300" s="3">
        <v>0.22116</v>
      </c>
      <c r="J300" s="3">
        <v>38.835151018668967</v>
      </c>
      <c r="K300" s="3">
        <v>68.046516653934304</v>
      </c>
    </row>
    <row r="301" spans="1:11" x14ac:dyDescent="0.2">
      <c r="A301" s="2" t="s">
        <v>37</v>
      </c>
      <c r="B301" s="2" t="s">
        <v>38</v>
      </c>
      <c r="C301" s="3">
        <v>2013</v>
      </c>
      <c r="D301" s="3">
        <v>15912.24712932389</v>
      </c>
      <c r="E301" s="3">
        <v>5.31518310308456E-2</v>
      </c>
      <c r="F301" s="3">
        <v>4.8785500526428196</v>
      </c>
      <c r="G301" s="3">
        <v>251</v>
      </c>
      <c r="H301" s="4">
        <v>46151584</v>
      </c>
      <c r="I301" s="3">
        <v>0.25761000000000001</v>
      </c>
      <c r="J301" s="3">
        <v>37.98664879784566</v>
      </c>
      <c r="K301" s="3">
        <v>67.884981149732624</v>
      </c>
    </row>
    <row r="302" spans="1:11" x14ac:dyDescent="0.2">
      <c r="A302" s="2" t="s">
        <v>37</v>
      </c>
      <c r="B302" s="2" t="s">
        <v>38</v>
      </c>
      <c r="C302" s="3">
        <v>2014</v>
      </c>
      <c r="D302" s="3">
        <v>16480.363147416108</v>
      </c>
      <c r="E302" s="3">
        <v>-0.13585403561592099</v>
      </c>
      <c r="F302" s="3">
        <v>4.6294598579406703</v>
      </c>
      <c r="G302" s="3">
        <v>260</v>
      </c>
      <c r="H302" s="4">
        <v>46565429</v>
      </c>
      <c r="I302" s="3">
        <v>0.30317</v>
      </c>
      <c r="J302" s="3">
        <v>37.48746564111034</v>
      </c>
      <c r="K302" s="3">
        <v>68.848128187335533</v>
      </c>
    </row>
    <row r="303" spans="1:11" x14ac:dyDescent="0.2">
      <c r="A303" s="2" t="s">
        <v>37</v>
      </c>
      <c r="B303" s="2" t="s">
        <v>38</v>
      </c>
      <c r="C303" s="3">
        <v>2015</v>
      </c>
      <c r="D303" s="3">
        <v>16821.380140063058</v>
      </c>
      <c r="E303" s="3">
        <v>-9.3739084899425507E-2</v>
      </c>
      <c r="F303" s="3">
        <v>4.4703898429870597</v>
      </c>
      <c r="G303" s="3">
        <v>321</v>
      </c>
      <c r="H303" s="4">
        <v>46969940</v>
      </c>
      <c r="I303" s="3">
        <v>0.36542000000000002</v>
      </c>
      <c r="J303" s="3">
        <v>38.360764118445317</v>
      </c>
      <c r="K303" s="3">
        <v>69.769353592649182</v>
      </c>
    </row>
    <row r="304" spans="1:11" x14ac:dyDescent="0.2">
      <c r="A304" s="2" t="s">
        <v>37</v>
      </c>
      <c r="B304" s="2" t="s">
        <v>38</v>
      </c>
      <c r="C304" s="3">
        <v>2016</v>
      </c>
      <c r="D304" s="3">
        <v>17003.244366485011</v>
      </c>
      <c r="E304" s="3">
        <v>-3.6966584622860003E-2</v>
      </c>
      <c r="F304" s="3">
        <v>4.4772100448608398</v>
      </c>
      <c r="G304" s="3">
        <v>545</v>
      </c>
      <c r="H304" s="4">
        <v>47437512</v>
      </c>
      <c r="I304" s="3">
        <v>0.27050999999999997</v>
      </c>
      <c r="J304" s="3">
        <v>36.202652984202032</v>
      </c>
      <c r="K304" s="3">
        <v>70.139910954078587</v>
      </c>
    </row>
    <row r="305" spans="1:11" x14ac:dyDescent="0.2">
      <c r="A305" s="2" t="s">
        <v>37</v>
      </c>
      <c r="B305" s="2" t="s">
        <v>38</v>
      </c>
      <c r="C305" s="3">
        <v>2017</v>
      </c>
      <c r="D305" s="3">
        <v>16986.03341828422</v>
      </c>
      <c r="E305" s="3">
        <v>-0.140821367502213</v>
      </c>
      <c r="F305" s="3">
        <v>4.5355100631713903</v>
      </c>
      <c r="G305" s="3">
        <v>595</v>
      </c>
      <c r="H305" s="4">
        <v>48131078</v>
      </c>
      <c r="I305" s="3">
        <v>0.26108999999999999</v>
      </c>
      <c r="J305" s="3">
        <v>35.282914942458802</v>
      </c>
      <c r="K305" s="3">
        <v>70.20103669892201</v>
      </c>
    </row>
    <row r="306" spans="1:11" x14ac:dyDescent="0.2">
      <c r="A306" s="2" t="s">
        <v>37</v>
      </c>
      <c r="B306" s="2" t="s">
        <v>38</v>
      </c>
      <c r="C306" s="3">
        <v>2018</v>
      </c>
      <c r="D306" s="3">
        <v>17104.13135456782</v>
      </c>
      <c r="E306" s="3">
        <v>-0.13937011361122101</v>
      </c>
      <c r="F306" s="3">
        <v>4.4491000175476101</v>
      </c>
      <c r="G306" s="3">
        <v>415</v>
      </c>
      <c r="H306" s="4">
        <v>49024465</v>
      </c>
      <c r="I306" s="3">
        <v>0.31233</v>
      </c>
      <c r="J306" s="3">
        <v>36.534752796897322</v>
      </c>
      <c r="K306" s="3">
        <v>70.750425819115534</v>
      </c>
    </row>
    <row r="307" spans="1:11" x14ac:dyDescent="0.2">
      <c r="A307" s="2" t="s">
        <v>37</v>
      </c>
      <c r="B307" s="2" t="s">
        <v>38</v>
      </c>
      <c r="C307" s="3">
        <v>2019</v>
      </c>
      <c r="D307" s="3">
        <v>17336.771603055058</v>
      </c>
      <c r="E307" s="3">
        <v>3.2715104520320899E-2</v>
      </c>
      <c r="F307" s="3">
        <v>4.5106902122497603</v>
      </c>
      <c r="G307" s="3">
        <v>422</v>
      </c>
      <c r="H307" s="4">
        <v>49907985</v>
      </c>
      <c r="I307" s="3">
        <v>0.32201000000000002</v>
      </c>
      <c r="J307" s="3">
        <v>37.558533980838973</v>
      </c>
      <c r="K307" s="3">
        <v>70.35565455182072</v>
      </c>
    </row>
    <row r="308" spans="1:11" x14ac:dyDescent="0.2">
      <c r="A308" s="2" t="s">
        <v>37</v>
      </c>
      <c r="B308" s="2" t="s">
        <v>38</v>
      </c>
      <c r="C308" s="3">
        <v>2020</v>
      </c>
      <c r="D308" s="3">
        <v>15861.49992912953</v>
      </c>
      <c r="E308" s="3">
        <v>8.4753185510635393E-3</v>
      </c>
      <c r="F308" s="3">
        <v>5.2616600990295401</v>
      </c>
      <c r="G308" s="3">
        <v>369</v>
      </c>
      <c r="H308" s="4">
        <v>50629997</v>
      </c>
      <c r="I308" s="3">
        <v>0.28939999999999999</v>
      </c>
      <c r="J308" s="3">
        <v>34.055570968010088</v>
      </c>
      <c r="K308" s="3">
        <v>69.159810873440279</v>
      </c>
    </row>
    <row r="309" spans="1:11" x14ac:dyDescent="0.2">
      <c r="A309" s="2" t="s">
        <v>37</v>
      </c>
      <c r="B309" s="2" t="s">
        <v>38</v>
      </c>
      <c r="C309" s="3">
        <v>2021</v>
      </c>
      <c r="D309" s="3">
        <v>17383.090172829528</v>
      </c>
      <c r="E309" s="3">
        <v>-4.7827649861574201E-2</v>
      </c>
      <c r="F309" s="2"/>
      <c r="G309" s="3">
        <v>432</v>
      </c>
      <c r="H309" s="4">
        <v>51188173</v>
      </c>
      <c r="I309" s="2"/>
      <c r="J309" s="3">
        <v>40.059146393612792</v>
      </c>
      <c r="K309" s="3">
        <v>69.374691683643164</v>
      </c>
    </row>
    <row r="310" spans="1:11" x14ac:dyDescent="0.2">
      <c r="A310" s="2" t="s">
        <v>39</v>
      </c>
      <c r="B310" s="2" t="s">
        <v>40</v>
      </c>
      <c r="C310" s="3">
        <v>2000</v>
      </c>
      <c r="D310" s="3">
        <v>14018.74250103859</v>
      </c>
      <c r="E310" s="3">
        <v>0.26220667362213101</v>
      </c>
      <c r="F310" s="3">
        <v>4.6669502258300799</v>
      </c>
      <c r="G310" s="3">
        <v>28</v>
      </c>
      <c r="H310" s="4">
        <v>3937739</v>
      </c>
      <c r="I310" s="3">
        <v>0.41134999999999999</v>
      </c>
      <c r="J310" s="3">
        <v>86.524923513070462</v>
      </c>
      <c r="K310" s="3">
        <v>67.501749100246172</v>
      </c>
    </row>
    <row r="311" spans="1:11" x14ac:dyDescent="0.2">
      <c r="A311" s="2" t="s">
        <v>39</v>
      </c>
      <c r="B311" s="2" t="s">
        <v>40</v>
      </c>
      <c r="C311" s="3">
        <v>2001</v>
      </c>
      <c r="D311" s="3">
        <v>14250.46274917391</v>
      </c>
      <c r="E311" s="2"/>
      <c r="F311" s="3">
        <v>4.8320298194885298</v>
      </c>
      <c r="G311" s="3">
        <v>21</v>
      </c>
      <c r="H311" s="4">
        <v>4008947</v>
      </c>
      <c r="I311" s="2"/>
      <c r="J311" s="3">
        <v>80.852758718109001</v>
      </c>
      <c r="K311" s="3">
        <v>67.541790643833295</v>
      </c>
    </row>
    <row r="312" spans="1:11" x14ac:dyDescent="0.2">
      <c r="A312" s="2" t="s">
        <v>39</v>
      </c>
      <c r="B312" s="2" t="s">
        <v>40</v>
      </c>
      <c r="C312" s="3">
        <v>2002</v>
      </c>
      <c r="D312" s="3">
        <v>14495.99251054566</v>
      </c>
      <c r="E312" s="3">
        <v>0.30656123161315901</v>
      </c>
      <c r="F312" s="3">
        <v>5.1504402160644496</v>
      </c>
      <c r="G312" s="3">
        <v>23</v>
      </c>
      <c r="H312" s="4">
        <v>4075705</v>
      </c>
      <c r="I312" s="2"/>
      <c r="J312" s="3">
        <v>80.413944336003908</v>
      </c>
      <c r="K312" s="3">
        <v>67.91875758000171</v>
      </c>
    </row>
    <row r="313" spans="1:11" x14ac:dyDescent="0.2">
      <c r="A313" s="2" t="s">
        <v>39</v>
      </c>
      <c r="B313" s="2" t="s">
        <v>40</v>
      </c>
      <c r="C313" s="3">
        <v>2003</v>
      </c>
      <c r="D313" s="3">
        <v>14891.33982168884</v>
      </c>
      <c r="E313" s="3">
        <v>0.211418956518173</v>
      </c>
      <c r="F313" s="3">
        <v>5.1337399482727104</v>
      </c>
      <c r="G313" s="3">
        <v>33</v>
      </c>
      <c r="H313" s="4">
        <v>4138784</v>
      </c>
      <c r="I313" s="3">
        <v>0.3619</v>
      </c>
      <c r="J313" s="3">
        <v>83.327707535564173</v>
      </c>
      <c r="K313" s="3">
        <v>68.554298393599879</v>
      </c>
    </row>
    <row r="314" spans="1:11" x14ac:dyDescent="0.2">
      <c r="A314" s="2" t="s">
        <v>39</v>
      </c>
      <c r="B314" s="2" t="s">
        <v>40</v>
      </c>
      <c r="C314" s="3">
        <v>2004</v>
      </c>
      <c r="D314" s="3">
        <v>15323.28922014694</v>
      </c>
      <c r="E314" s="3">
        <v>0.21229019761085499</v>
      </c>
      <c r="F314" s="3">
        <v>4.8906297683715803</v>
      </c>
      <c r="G314" s="3">
        <v>26</v>
      </c>
      <c r="H314" s="4">
        <v>4200078</v>
      </c>
      <c r="I314" s="3">
        <v>0.37287999999999999</v>
      </c>
      <c r="J314" s="3">
        <v>85.256477196587227</v>
      </c>
      <c r="K314" s="3">
        <v>68.290957386894149</v>
      </c>
    </row>
    <row r="315" spans="1:11" x14ac:dyDescent="0.2">
      <c r="A315" s="2" t="s">
        <v>39</v>
      </c>
      <c r="B315" s="2" t="s">
        <v>40</v>
      </c>
      <c r="C315" s="3">
        <v>2005</v>
      </c>
      <c r="D315" s="3">
        <v>15703.962472050591</v>
      </c>
      <c r="E315" s="3">
        <v>0.149778127670288</v>
      </c>
      <c r="F315" s="2"/>
      <c r="G315" s="3">
        <v>17</v>
      </c>
      <c r="H315" s="4">
        <v>4261240</v>
      </c>
      <c r="I315" s="2"/>
      <c r="J315" s="3">
        <v>89.22266389232243</v>
      </c>
      <c r="K315" s="3">
        <v>68.7731940561073</v>
      </c>
    </row>
    <row r="316" spans="1:11" x14ac:dyDescent="0.2">
      <c r="A316" s="2" t="s">
        <v>39</v>
      </c>
      <c r="B316" s="2" t="s">
        <v>40</v>
      </c>
      <c r="C316" s="3">
        <v>2006</v>
      </c>
      <c r="D316" s="3">
        <v>16620.135643206431</v>
      </c>
      <c r="E316" s="3">
        <v>3.09586375951767E-2</v>
      </c>
      <c r="F316" s="3">
        <v>4.6161398887634304</v>
      </c>
      <c r="G316" s="3">
        <v>22</v>
      </c>
      <c r="H316" s="4">
        <v>4321340</v>
      </c>
      <c r="I316" s="3">
        <v>0.42692999999999998</v>
      </c>
      <c r="J316" s="3">
        <v>89.814554613693062</v>
      </c>
      <c r="K316" s="3">
        <v>68.882761490960007</v>
      </c>
    </row>
    <row r="317" spans="1:11" x14ac:dyDescent="0.2">
      <c r="A317" s="2" t="s">
        <v>39</v>
      </c>
      <c r="B317" s="2" t="s">
        <v>40</v>
      </c>
      <c r="C317" s="3">
        <v>2007</v>
      </c>
      <c r="D317" s="3">
        <v>17743.62273823563</v>
      </c>
      <c r="E317" s="3">
        <v>0.21147200465202301</v>
      </c>
      <c r="F317" s="3">
        <v>4.6345100402831996</v>
      </c>
      <c r="G317" s="3">
        <v>20</v>
      </c>
      <c r="H317" s="4">
        <v>4380248</v>
      </c>
      <c r="I317" s="3">
        <v>0.35654999999999998</v>
      </c>
      <c r="J317" s="3">
        <v>86.456595843934892</v>
      </c>
      <c r="K317" s="3">
        <v>69.099619124013245</v>
      </c>
    </row>
    <row r="318" spans="1:11" x14ac:dyDescent="0.2">
      <c r="A318" s="2" t="s">
        <v>39</v>
      </c>
      <c r="B318" s="2" t="s">
        <v>40</v>
      </c>
      <c r="C318" s="3">
        <v>2008</v>
      </c>
      <c r="D318" s="3">
        <v>18334.01359886158</v>
      </c>
      <c r="E318" s="3">
        <v>0.27057191729545599</v>
      </c>
      <c r="F318" s="3">
        <v>4.8869700431823704</v>
      </c>
      <c r="G318" s="3">
        <v>24</v>
      </c>
      <c r="H318" s="4">
        <v>4440056</v>
      </c>
      <c r="I318" s="3">
        <v>0.38593</v>
      </c>
      <c r="J318" s="3">
        <v>86.401512711325424</v>
      </c>
      <c r="K318" s="3">
        <v>69.389370654019189</v>
      </c>
    </row>
    <row r="319" spans="1:11" x14ac:dyDescent="0.2">
      <c r="A319" s="2" t="s">
        <v>39</v>
      </c>
      <c r="B319" s="2" t="s">
        <v>40</v>
      </c>
      <c r="C319" s="3">
        <v>2009</v>
      </c>
      <c r="D319" s="3">
        <v>17932.614780727501</v>
      </c>
      <c r="E319" s="3">
        <v>0.32113441824913003</v>
      </c>
      <c r="F319" s="3">
        <v>6.0103001594543501</v>
      </c>
      <c r="G319" s="3">
        <v>16</v>
      </c>
      <c r="H319" s="4">
        <v>4499791</v>
      </c>
      <c r="I319" s="3">
        <v>0.51717999999999997</v>
      </c>
      <c r="J319" s="3">
        <v>69.759317725153451</v>
      </c>
      <c r="K319" s="3">
        <v>69.419169476275371</v>
      </c>
    </row>
    <row r="320" spans="1:11" x14ac:dyDescent="0.2">
      <c r="A320" s="2" t="s">
        <v>39</v>
      </c>
      <c r="B320" s="2" t="s">
        <v>40</v>
      </c>
      <c r="C320" s="3">
        <v>2010</v>
      </c>
      <c r="D320" s="3">
        <v>18660.919822278269</v>
      </c>
      <c r="E320" s="3">
        <v>0.29892888665199302</v>
      </c>
      <c r="F320" s="3">
        <v>6.5657401084899902</v>
      </c>
      <c r="G320" s="3">
        <v>8</v>
      </c>
      <c r="H320" s="4">
        <v>4555962</v>
      </c>
      <c r="I320" s="3">
        <v>0.47989999999999999</v>
      </c>
      <c r="J320" s="3">
        <v>67.512089684107039</v>
      </c>
      <c r="K320" s="3">
        <v>70.331326493930902</v>
      </c>
    </row>
    <row r="321" spans="1:11" x14ac:dyDescent="0.2">
      <c r="A321" s="2" t="s">
        <v>39</v>
      </c>
      <c r="B321" s="2" t="s">
        <v>40</v>
      </c>
      <c r="C321" s="3">
        <v>2011</v>
      </c>
      <c r="D321" s="3">
        <v>19254.914215309891</v>
      </c>
      <c r="E321" s="3">
        <v>0.283398628234863</v>
      </c>
      <c r="F321" s="3">
        <v>6.3798899650573704</v>
      </c>
      <c r="G321" s="3">
        <v>13</v>
      </c>
      <c r="H321" s="4">
        <v>4609833</v>
      </c>
      <c r="I321" s="3">
        <v>0.46234999999999998</v>
      </c>
      <c r="J321" s="3">
        <v>68.63914650740162</v>
      </c>
      <c r="K321" s="3">
        <v>70.21867690985485</v>
      </c>
    </row>
    <row r="322" spans="1:11" x14ac:dyDescent="0.2">
      <c r="A322" s="2" t="s">
        <v>39</v>
      </c>
      <c r="B322" s="2" t="s">
        <v>40</v>
      </c>
      <c r="C322" s="3">
        <v>2012</v>
      </c>
      <c r="D322" s="3">
        <v>19960.793325303472</v>
      </c>
      <c r="E322" s="3">
        <v>0.47439906001090998</v>
      </c>
      <c r="F322" s="3">
        <v>6.5823998451232901</v>
      </c>
      <c r="G322" s="3">
        <v>9</v>
      </c>
      <c r="H322" s="4">
        <v>4663934</v>
      </c>
      <c r="I322" s="3">
        <v>0.54713000000000001</v>
      </c>
      <c r="J322" s="3">
        <v>67.048539295097612</v>
      </c>
      <c r="K322" s="3">
        <v>70.789374318818446</v>
      </c>
    </row>
    <row r="323" spans="1:11" x14ac:dyDescent="0.2">
      <c r="A323" s="2" t="s">
        <v>39</v>
      </c>
      <c r="B323" s="2" t="s">
        <v>40</v>
      </c>
      <c r="C323" s="3">
        <v>2013</v>
      </c>
      <c r="D323" s="3">
        <v>20232.267079944591</v>
      </c>
      <c r="E323" s="3">
        <v>0.45591115951538103</v>
      </c>
      <c r="F323" s="3">
        <v>6.68739986419678</v>
      </c>
      <c r="G323" s="3">
        <v>18</v>
      </c>
      <c r="H323" s="4">
        <v>4716147</v>
      </c>
      <c r="I323" s="3">
        <v>0.54252999999999996</v>
      </c>
      <c r="J323" s="3">
        <v>64.066410587944233</v>
      </c>
      <c r="K323" s="3">
        <v>70.970700547491717</v>
      </c>
    </row>
    <row r="324" spans="1:11" x14ac:dyDescent="0.2">
      <c r="A324" s="2" t="s">
        <v>39</v>
      </c>
      <c r="B324" s="2" t="s">
        <v>40</v>
      </c>
      <c r="C324" s="3">
        <v>2014</v>
      </c>
      <c r="D324" s="3">
        <v>20724.92176934228</v>
      </c>
      <c r="E324" s="3">
        <v>0.362441927194595</v>
      </c>
      <c r="F324" s="3">
        <v>6.6795201301574698</v>
      </c>
      <c r="G324" s="3">
        <v>15</v>
      </c>
      <c r="H324" s="4">
        <v>4767119</v>
      </c>
      <c r="I324" s="3">
        <v>0.55627000000000004</v>
      </c>
      <c r="J324" s="3">
        <v>65.191242053236778</v>
      </c>
      <c r="K324" s="3">
        <v>71.422624760207128</v>
      </c>
    </row>
    <row r="325" spans="1:11" x14ac:dyDescent="0.2">
      <c r="A325" s="2" t="s">
        <v>39</v>
      </c>
      <c r="B325" s="2" t="s">
        <v>40</v>
      </c>
      <c r="C325" s="3">
        <v>2015</v>
      </c>
      <c r="D325" s="3">
        <v>21254.7840932049</v>
      </c>
      <c r="E325" s="3">
        <v>0.30655446648597701</v>
      </c>
      <c r="F325" s="3">
        <v>6.8734998703002903</v>
      </c>
      <c r="G325" s="3">
        <v>17</v>
      </c>
      <c r="H325" s="4">
        <v>4818038</v>
      </c>
      <c r="I325" s="3">
        <v>0.43664999999999998</v>
      </c>
      <c r="J325" s="3">
        <v>60.753561939520992</v>
      </c>
      <c r="K325" s="3">
        <v>71.386762492572785</v>
      </c>
    </row>
    <row r="326" spans="1:11" x14ac:dyDescent="0.2">
      <c r="A326" s="2" t="s">
        <v>39</v>
      </c>
      <c r="B326" s="2" t="s">
        <v>40</v>
      </c>
      <c r="C326" s="3">
        <v>2016</v>
      </c>
      <c r="D326" s="3">
        <v>21925.600080399909</v>
      </c>
      <c r="E326" s="3">
        <v>0.28387451171875</v>
      </c>
      <c r="F326" s="3">
        <v>6.89395999908447</v>
      </c>
      <c r="G326" s="3">
        <v>9</v>
      </c>
      <c r="H326" s="4">
        <v>4866998</v>
      </c>
      <c r="I326" s="3">
        <v>0.44335000000000002</v>
      </c>
      <c r="J326" s="3">
        <v>62.178478176829543</v>
      </c>
      <c r="K326" s="3">
        <v>70.873631656905189</v>
      </c>
    </row>
    <row r="327" spans="1:11" x14ac:dyDescent="0.2">
      <c r="A327" s="2" t="s">
        <v>39</v>
      </c>
      <c r="B327" s="2" t="s">
        <v>40</v>
      </c>
      <c r="C327" s="3">
        <v>2017</v>
      </c>
      <c r="D327" s="3">
        <v>22622.553450251751</v>
      </c>
      <c r="E327" s="3">
        <v>0.222521707415581</v>
      </c>
      <c r="F327" s="3">
        <v>7.0698099136352504</v>
      </c>
      <c r="G327" s="3">
        <v>19</v>
      </c>
      <c r="H327" s="4">
        <v>4913177</v>
      </c>
      <c r="I327" s="3">
        <v>0.42587000000000003</v>
      </c>
      <c r="J327" s="3">
        <v>65.071953743881537</v>
      </c>
      <c r="K327" s="3">
        <v>71.463152516764282</v>
      </c>
    </row>
    <row r="328" spans="1:11" x14ac:dyDescent="0.2">
      <c r="A328" s="2" t="s">
        <v>39</v>
      </c>
      <c r="B328" s="2" t="s">
        <v>40</v>
      </c>
      <c r="C328" s="3">
        <v>2018</v>
      </c>
      <c r="D328" s="3">
        <v>23005.3121471794</v>
      </c>
      <c r="E328" s="3">
        <v>0.35270640254020702</v>
      </c>
      <c r="F328" s="3">
        <v>6.76991987228394</v>
      </c>
      <c r="G328" s="3">
        <v>8</v>
      </c>
      <c r="H328" s="4">
        <v>4957818</v>
      </c>
      <c r="I328" s="3">
        <v>0.37143999999999999</v>
      </c>
      <c r="J328" s="3">
        <v>66.945342016636019</v>
      </c>
      <c r="K328" s="3">
        <v>71.427059392241745</v>
      </c>
    </row>
    <row r="329" spans="1:11" x14ac:dyDescent="0.2">
      <c r="A329" s="2" t="s">
        <v>39</v>
      </c>
      <c r="B329" s="2" t="s">
        <v>40</v>
      </c>
      <c r="C329" s="3">
        <v>2019</v>
      </c>
      <c r="D329" s="3">
        <v>23364.783127574021</v>
      </c>
      <c r="E329" s="3">
        <v>0.34766140580177302</v>
      </c>
      <c r="F329" s="3">
        <v>6.7380800247192401</v>
      </c>
      <c r="G329" s="3">
        <v>16</v>
      </c>
      <c r="H329" s="4">
        <v>4999553</v>
      </c>
      <c r="I329" s="2"/>
      <c r="J329" s="3">
        <v>65.760530017662191</v>
      </c>
      <c r="K329" s="3">
        <v>71.855737278244646</v>
      </c>
    </row>
    <row r="330" spans="1:11" x14ac:dyDescent="0.2">
      <c r="A330" s="2" t="s">
        <v>39</v>
      </c>
      <c r="B330" s="2" t="s">
        <v>40</v>
      </c>
      <c r="C330" s="3">
        <v>2020</v>
      </c>
      <c r="D330" s="3">
        <v>22211.861392169769</v>
      </c>
      <c r="E330" s="3">
        <v>0.19650039076805101</v>
      </c>
      <c r="F330" s="3">
        <v>6.6289801597595197</v>
      </c>
      <c r="G330" s="3">
        <v>12</v>
      </c>
      <c r="H330" s="4">
        <v>5034320</v>
      </c>
      <c r="I330" s="3">
        <v>0.33001999999999998</v>
      </c>
      <c r="J330" s="3">
        <v>60.139886250953268</v>
      </c>
      <c r="K330" s="3">
        <v>71.99174834691452</v>
      </c>
    </row>
    <row r="331" spans="1:11" x14ac:dyDescent="0.2">
      <c r="A331" s="2" t="s">
        <v>39</v>
      </c>
      <c r="B331" s="2" t="s">
        <v>40</v>
      </c>
      <c r="C331" s="3">
        <v>2021</v>
      </c>
      <c r="D331" s="3">
        <v>23852.925302000171</v>
      </c>
      <c r="E331" s="3">
        <v>0.22286738455295599</v>
      </c>
      <c r="F331" s="3">
        <v>6.2484197616577104</v>
      </c>
      <c r="G331" s="3">
        <v>15</v>
      </c>
      <c r="H331" s="4">
        <v>5059988</v>
      </c>
      <c r="I331" s="3">
        <v>0.27384999999999998</v>
      </c>
      <c r="J331" s="3">
        <v>70.781642302708462</v>
      </c>
      <c r="K331" s="3">
        <v>72.995214529751294</v>
      </c>
    </row>
    <row r="332" spans="1:11" x14ac:dyDescent="0.2">
      <c r="A332" s="2" t="s">
        <v>41</v>
      </c>
      <c r="B332" s="2" t="s">
        <v>42</v>
      </c>
      <c r="C332" s="3">
        <v>2000</v>
      </c>
      <c r="D332" s="3">
        <v>21302.250368453639</v>
      </c>
      <c r="E332" s="3">
        <v>0.36339437961578402</v>
      </c>
      <c r="F332" s="2"/>
      <c r="G332" s="3">
        <v>337</v>
      </c>
      <c r="H332" s="4">
        <v>4468302</v>
      </c>
      <c r="I332" s="3">
        <v>1.0425</v>
      </c>
      <c r="J332" s="3">
        <v>74.601685470340627</v>
      </c>
      <c r="K332" s="3">
        <v>74.385554365079372</v>
      </c>
    </row>
    <row r="333" spans="1:11" x14ac:dyDescent="0.2">
      <c r="A333" s="2" t="s">
        <v>41</v>
      </c>
      <c r="B333" s="2" t="s">
        <v>42</v>
      </c>
      <c r="C333" s="3">
        <v>2001</v>
      </c>
      <c r="D333" s="3">
        <v>22826.624492874089</v>
      </c>
      <c r="E333" s="2"/>
      <c r="F333" s="2"/>
      <c r="G333" s="3">
        <v>362</v>
      </c>
      <c r="H333" s="4">
        <v>4299642</v>
      </c>
      <c r="I333" s="3">
        <v>0.91761999999999999</v>
      </c>
      <c r="J333" s="3">
        <v>79.440585603458771</v>
      </c>
      <c r="K333" s="3">
        <v>74.524280648926222</v>
      </c>
    </row>
    <row r="334" spans="1:11" x14ac:dyDescent="0.2">
      <c r="A334" s="2" t="s">
        <v>41</v>
      </c>
      <c r="B334" s="2" t="s">
        <v>42</v>
      </c>
      <c r="C334" s="3">
        <v>2002</v>
      </c>
      <c r="D334" s="3">
        <v>24137.11442815428</v>
      </c>
      <c r="E334" s="3">
        <v>0.32857570052146901</v>
      </c>
      <c r="F334" s="3">
        <v>3.8230500221252401</v>
      </c>
      <c r="G334" s="3">
        <v>328</v>
      </c>
      <c r="H334" s="4">
        <v>4302174</v>
      </c>
      <c r="I334" s="3">
        <v>0.94086999999999998</v>
      </c>
      <c r="J334" s="3">
        <v>81.16099779602105</v>
      </c>
      <c r="K334" s="3">
        <v>74.361636858076579</v>
      </c>
    </row>
    <row r="335" spans="1:11" x14ac:dyDescent="0.2">
      <c r="A335" s="2" t="s">
        <v>41</v>
      </c>
      <c r="B335" s="2" t="s">
        <v>42</v>
      </c>
      <c r="C335" s="3">
        <v>2003</v>
      </c>
      <c r="D335" s="3">
        <v>25473.905515688439</v>
      </c>
      <c r="E335" s="3">
        <v>0.31880113482475297</v>
      </c>
      <c r="F335" s="3">
        <v>3.87019991874695</v>
      </c>
      <c r="G335" s="3">
        <v>387</v>
      </c>
      <c r="H335" s="4">
        <v>4303399</v>
      </c>
      <c r="I335" s="3">
        <v>0.94069000000000003</v>
      </c>
      <c r="J335" s="3">
        <v>81.443251435320818</v>
      </c>
      <c r="K335" s="3">
        <v>73.986377917833806</v>
      </c>
    </row>
    <row r="336" spans="1:11" x14ac:dyDescent="0.2">
      <c r="A336" s="2" t="s">
        <v>41</v>
      </c>
      <c r="B336" s="2" t="s">
        <v>42</v>
      </c>
      <c r="C336" s="3">
        <v>2004</v>
      </c>
      <c r="D336" s="3">
        <v>26528.887170858561</v>
      </c>
      <c r="E336" s="3">
        <v>0.44430086016655002</v>
      </c>
      <c r="F336" s="3">
        <v>3.82386994361877</v>
      </c>
      <c r="G336" s="3">
        <v>385</v>
      </c>
      <c r="H336" s="4">
        <v>4304600</v>
      </c>
      <c r="I336" s="3">
        <v>1.0200199999999999</v>
      </c>
      <c r="J336" s="3">
        <v>81.644412660333771</v>
      </c>
      <c r="K336" s="3">
        <v>74.320852801120438</v>
      </c>
    </row>
    <row r="337" spans="1:11" x14ac:dyDescent="0.2">
      <c r="A337" s="2" t="s">
        <v>41</v>
      </c>
      <c r="B337" s="2" t="s">
        <v>42</v>
      </c>
      <c r="C337" s="3">
        <v>2005</v>
      </c>
      <c r="D337" s="3">
        <v>27641.206184119379</v>
      </c>
      <c r="E337" s="3">
        <v>0.45562064647674599</v>
      </c>
      <c r="F337" s="2"/>
      <c r="G337" s="3">
        <v>363</v>
      </c>
      <c r="H337" s="4">
        <v>4310145</v>
      </c>
      <c r="I337" s="3">
        <v>0.84775999999999996</v>
      </c>
      <c r="J337" s="3">
        <v>81.492335571411814</v>
      </c>
      <c r="K337" s="3">
        <v>74.276292903828207</v>
      </c>
    </row>
    <row r="338" spans="1:11" x14ac:dyDescent="0.2">
      <c r="A338" s="2" t="s">
        <v>41</v>
      </c>
      <c r="B338" s="2" t="s">
        <v>42</v>
      </c>
      <c r="C338" s="3">
        <v>2006</v>
      </c>
      <c r="D338" s="3">
        <v>29035.529538203529</v>
      </c>
      <c r="E338" s="3">
        <v>0.55554044246673595</v>
      </c>
      <c r="F338" s="2"/>
      <c r="G338" s="3">
        <v>317</v>
      </c>
      <c r="H338" s="4">
        <v>4311159</v>
      </c>
      <c r="I338" s="3">
        <v>0.73211000000000004</v>
      </c>
      <c r="J338" s="3">
        <v>83.517083591692497</v>
      </c>
      <c r="K338" s="3">
        <v>74.25031325863678</v>
      </c>
    </row>
    <row r="339" spans="1:11" x14ac:dyDescent="0.2">
      <c r="A339" s="2" t="s">
        <v>41</v>
      </c>
      <c r="B339" s="2" t="s">
        <v>42</v>
      </c>
      <c r="C339" s="3">
        <v>2007</v>
      </c>
      <c r="D339" s="3">
        <v>30508.279807341682</v>
      </c>
      <c r="E339" s="3">
        <v>0.45644697546958901</v>
      </c>
      <c r="F339" s="3">
        <v>3.9689800739288299</v>
      </c>
      <c r="G339" s="3">
        <v>344</v>
      </c>
      <c r="H339" s="4">
        <v>4310217</v>
      </c>
      <c r="I339" s="3">
        <v>0.78298999999999996</v>
      </c>
      <c r="J339" s="3">
        <v>83.262210381268048</v>
      </c>
      <c r="K339" s="3">
        <v>74.243243860877669</v>
      </c>
    </row>
    <row r="340" spans="1:11" x14ac:dyDescent="0.2">
      <c r="A340" s="2" t="s">
        <v>41</v>
      </c>
      <c r="B340" s="2" t="s">
        <v>42</v>
      </c>
      <c r="C340" s="3">
        <v>2008</v>
      </c>
      <c r="D340" s="3">
        <v>31113.86446657373</v>
      </c>
      <c r="E340" s="3">
        <v>0.57274383306503296</v>
      </c>
      <c r="F340" s="3">
        <v>4.2783899307251003</v>
      </c>
      <c r="G340" s="3">
        <v>330</v>
      </c>
      <c r="H340" s="4">
        <v>4309705</v>
      </c>
      <c r="I340" s="3">
        <v>0.87568000000000001</v>
      </c>
      <c r="J340" s="3">
        <v>82.079079106007626</v>
      </c>
      <c r="K340" s="3">
        <v>74.684965873015869</v>
      </c>
    </row>
    <row r="341" spans="1:11" x14ac:dyDescent="0.2">
      <c r="A341" s="2" t="s">
        <v>41</v>
      </c>
      <c r="B341" s="2" t="s">
        <v>42</v>
      </c>
      <c r="C341" s="3">
        <v>2009</v>
      </c>
      <c r="D341" s="3">
        <v>29024.758869963222</v>
      </c>
      <c r="E341" s="3">
        <v>0.58542639017105103</v>
      </c>
      <c r="F341" s="3">
        <v>4.3621702194213903</v>
      </c>
      <c r="G341" s="3">
        <v>250</v>
      </c>
      <c r="H341" s="4">
        <v>4305181</v>
      </c>
      <c r="I341" s="3">
        <v>0.83304</v>
      </c>
      <c r="J341" s="3">
        <v>69.701557889743853</v>
      </c>
      <c r="K341" s="3">
        <v>75.761834033613439</v>
      </c>
    </row>
    <row r="342" spans="1:11" x14ac:dyDescent="0.2">
      <c r="A342" s="2" t="s">
        <v>41</v>
      </c>
      <c r="B342" s="2" t="s">
        <v>42</v>
      </c>
      <c r="C342" s="3">
        <v>2010</v>
      </c>
      <c r="D342" s="3">
        <v>28702.003000938112</v>
      </c>
      <c r="E342" s="3">
        <v>0.58143448829650901</v>
      </c>
      <c r="F342" s="3">
        <v>4.2065100669860804</v>
      </c>
      <c r="G342" s="3">
        <v>257</v>
      </c>
      <c r="H342" s="4">
        <v>4295427</v>
      </c>
      <c r="I342" s="3">
        <v>0.73055000000000003</v>
      </c>
      <c r="J342" s="3">
        <v>72.646703993266755</v>
      </c>
      <c r="K342" s="3">
        <v>76.08162250233427</v>
      </c>
    </row>
    <row r="343" spans="1:11" x14ac:dyDescent="0.2">
      <c r="A343" s="2" t="s">
        <v>41</v>
      </c>
      <c r="B343" s="2" t="s">
        <v>42</v>
      </c>
      <c r="C343" s="3">
        <v>2011</v>
      </c>
      <c r="D343" s="3">
        <v>28769.329474933122</v>
      </c>
      <c r="E343" s="3">
        <v>0.50217521190643299</v>
      </c>
      <c r="F343" s="3">
        <v>4.1058402061462402</v>
      </c>
      <c r="G343" s="3">
        <v>230</v>
      </c>
      <c r="H343" s="4">
        <v>4280622</v>
      </c>
      <c r="I343" s="3">
        <v>0.73646</v>
      </c>
      <c r="J343" s="3">
        <v>77.783952809241995</v>
      </c>
      <c r="K343" s="3">
        <v>76.476058986928095</v>
      </c>
    </row>
    <row r="344" spans="1:11" x14ac:dyDescent="0.2">
      <c r="A344" s="2" t="s">
        <v>41</v>
      </c>
      <c r="B344" s="2" t="s">
        <v>42</v>
      </c>
      <c r="C344" s="3">
        <v>2012</v>
      </c>
      <c r="D344" s="3">
        <v>28259.345488246399</v>
      </c>
      <c r="E344" s="3">
        <v>0.67502820491790805</v>
      </c>
      <c r="F344" s="2"/>
      <c r="G344" s="3">
        <v>217</v>
      </c>
      <c r="H344" s="4">
        <v>4260368</v>
      </c>
      <c r="I344" s="3">
        <v>0.73724999999999996</v>
      </c>
      <c r="J344" s="3">
        <v>79.007549305813782</v>
      </c>
      <c r="K344" s="3">
        <v>77.041421755368816</v>
      </c>
    </row>
    <row r="345" spans="1:11" x14ac:dyDescent="0.2">
      <c r="A345" s="2" t="s">
        <v>41</v>
      </c>
      <c r="B345" s="2" t="s">
        <v>42</v>
      </c>
      <c r="C345" s="3">
        <v>2013</v>
      </c>
      <c r="D345" s="3">
        <v>28397.856208094541</v>
      </c>
      <c r="E345" s="3">
        <v>0.67536479234695401</v>
      </c>
      <c r="F345" s="3">
        <v>4.5012798309326199</v>
      </c>
      <c r="G345" s="3">
        <v>230</v>
      </c>
      <c r="H345" s="4">
        <v>4233922</v>
      </c>
      <c r="I345" s="3">
        <v>0.79513</v>
      </c>
      <c r="J345" s="3">
        <v>80.918813200202649</v>
      </c>
      <c r="K345" s="3">
        <v>79.512546125116714</v>
      </c>
    </row>
    <row r="346" spans="1:11" x14ac:dyDescent="0.2">
      <c r="A346" s="2" t="s">
        <v>41</v>
      </c>
      <c r="B346" s="2" t="s">
        <v>42</v>
      </c>
      <c r="C346" s="3">
        <v>2014</v>
      </c>
      <c r="D346" s="3">
        <v>28456.737159525779</v>
      </c>
      <c r="E346" s="3">
        <v>0.67633491754531905</v>
      </c>
      <c r="F346" s="2"/>
      <c r="G346" s="3">
        <v>170</v>
      </c>
      <c r="H346" s="4">
        <v>4201598</v>
      </c>
      <c r="I346" s="3">
        <v>0.76902000000000004</v>
      </c>
      <c r="J346" s="3">
        <v>85.216624131921648</v>
      </c>
      <c r="K346" s="3">
        <v>79.90664568160598</v>
      </c>
    </row>
    <row r="347" spans="1:11" x14ac:dyDescent="0.2">
      <c r="A347" s="2" t="s">
        <v>41</v>
      </c>
      <c r="B347" s="2" t="s">
        <v>42</v>
      </c>
      <c r="C347" s="3">
        <v>2015</v>
      </c>
      <c r="D347" s="3">
        <v>29466.699689414101</v>
      </c>
      <c r="E347" s="3">
        <v>0.45735341310501099</v>
      </c>
      <c r="F347" s="2"/>
      <c r="G347" s="3">
        <v>169</v>
      </c>
      <c r="H347" s="4">
        <v>4151725</v>
      </c>
      <c r="I347" s="3">
        <v>0.82377999999999996</v>
      </c>
      <c r="J347" s="3">
        <v>90.652270548511822</v>
      </c>
      <c r="K347" s="3">
        <v>80.274656932773127</v>
      </c>
    </row>
    <row r="348" spans="1:11" x14ac:dyDescent="0.2">
      <c r="A348" s="2" t="s">
        <v>41</v>
      </c>
      <c r="B348" s="2" t="s">
        <v>42</v>
      </c>
      <c r="C348" s="3">
        <v>2016</v>
      </c>
      <c r="D348" s="3">
        <v>30821.163749817719</v>
      </c>
      <c r="E348" s="3">
        <v>0.42230826616287198</v>
      </c>
      <c r="F348" s="2"/>
      <c r="G348" s="3">
        <v>175</v>
      </c>
      <c r="H348" s="4">
        <v>4106867</v>
      </c>
      <c r="I348" s="3">
        <v>0.84433000000000002</v>
      </c>
      <c r="J348" s="3">
        <v>92.139200935607704</v>
      </c>
      <c r="K348" s="3">
        <v>80.329344864612509</v>
      </c>
    </row>
    <row r="349" spans="1:11" x14ac:dyDescent="0.2">
      <c r="A349" s="2" t="s">
        <v>41</v>
      </c>
      <c r="B349" s="2" t="s">
        <v>42</v>
      </c>
      <c r="C349" s="3">
        <v>2017</v>
      </c>
      <c r="D349" s="3">
        <v>32348.934187648229</v>
      </c>
      <c r="E349" s="3">
        <v>0.53549170494079601</v>
      </c>
      <c r="F349" s="3">
        <v>3.87207007408142</v>
      </c>
      <c r="G349" s="3">
        <v>148</v>
      </c>
      <c r="H349" s="4">
        <v>4041407</v>
      </c>
      <c r="I349" s="3">
        <v>0.84150000000000003</v>
      </c>
      <c r="J349" s="3">
        <v>97.244525654037446</v>
      </c>
      <c r="K349" s="3">
        <v>80.15000616246499</v>
      </c>
    </row>
    <row r="350" spans="1:11" x14ac:dyDescent="0.2">
      <c r="A350" s="2" t="s">
        <v>41</v>
      </c>
      <c r="B350" s="2" t="s">
        <v>42</v>
      </c>
      <c r="C350" s="3">
        <v>2018</v>
      </c>
      <c r="D350" s="3">
        <v>33729.907121123942</v>
      </c>
      <c r="E350" s="3">
        <v>0.513932764530182</v>
      </c>
      <c r="F350" s="3">
        <v>3.9243299961090101</v>
      </c>
      <c r="G350" s="3">
        <v>121</v>
      </c>
      <c r="H350" s="4">
        <v>3988775</v>
      </c>
      <c r="I350" s="3">
        <v>0.94311999999999996</v>
      </c>
      <c r="J350" s="3">
        <v>99.084854636253425</v>
      </c>
      <c r="K350" s="3">
        <v>81.104170494864618</v>
      </c>
    </row>
    <row r="351" spans="1:11" x14ac:dyDescent="0.2">
      <c r="A351" s="2" t="s">
        <v>41</v>
      </c>
      <c r="B351" s="2" t="s">
        <v>42</v>
      </c>
      <c r="C351" s="3">
        <v>2019</v>
      </c>
      <c r="D351" s="3">
        <v>35122.850825113928</v>
      </c>
      <c r="E351" s="3">
        <v>0.45678535103797901</v>
      </c>
      <c r="F351" s="3">
        <v>3.9455599784851101</v>
      </c>
      <c r="G351" s="3">
        <v>195</v>
      </c>
      <c r="H351" s="4">
        <v>3949390</v>
      </c>
      <c r="I351" s="3">
        <v>1.0702700000000001</v>
      </c>
      <c r="J351" s="3">
        <v>101.3947665642164</v>
      </c>
      <c r="K351" s="3">
        <v>81.516614052287579</v>
      </c>
    </row>
    <row r="352" spans="1:11" x14ac:dyDescent="0.2">
      <c r="A352" s="2" t="s">
        <v>41</v>
      </c>
      <c r="B352" s="2" t="s">
        <v>42</v>
      </c>
      <c r="C352" s="3">
        <v>2020</v>
      </c>
      <c r="D352" s="3">
        <v>32493.312195416722</v>
      </c>
      <c r="E352" s="3">
        <v>0.42477580904960599</v>
      </c>
      <c r="F352" s="3">
        <v>4.4085497856140101</v>
      </c>
      <c r="G352" s="3">
        <v>117</v>
      </c>
      <c r="H352" s="4">
        <v>3914206</v>
      </c>
      <c r="I352" s="3">
        <v>1.2298899999999999</v>
      </c>
      <c r="J352" s="3">
        <v>89.548052314321211</v>
      </c>
      <c r="K352" s="3">
        <v>81.764798529411792</v>
      </c>
    </row>
    <row r="353" spans="1:11" x14ac:dyDescent="0.2">
      <c r="A353" s="2" t="s">
        <v>41</v>
      </c>
      <c r="B353" s="2" t="s">
        <v>42</v>
      </c>
      <c r="C353" s="3">
        <v>2021</v>
      </c>
      <c r="D353" s="3">
        <v>36930.284194140528</v>
      </c>
      <c r="E353" s="3">
        <v>0.55237460136413596</v>
      </c>
      <c r="F353" s="3">
        <v>4.0916600227356001</v>
      </c>
      <c r="G353" s="3">
        <v>77</v>
      </c>
      <c r="H353" s="4">
        <v>3878981</v>
      </c>
      <c r="I353" s="3">
        <v>1.2312399999999999</v>
      </c>
      <c r="J353" s="3">
        <v>102.3286971507994</v>
      </c>
      <c r="K353" s="3">
        <v>82.443467226890775</v>
      </c>
    </row>
    <row r="354" spans="1:11" x14ac:dyDescent="0.2">
      <c r="A354" s="2" t="s">
        <v>43</v>
      </c>
      <c r="B354" s="2" t="s">
        <v>44</v>
      </c>
      <c r="C354" s="3">
        <v>2000</v>
      </c>
      <c r="D354" s="3">
        <v>36121.81640625</v>
      </c>
      <c r="E354" s="3">
        <v>1.0749042034149201</v>
      </c>
      <c r="F354" s="3">
        <v>4.9895401000976598</v>
      </c>
      <c r="G354" s="2"/>
      <c r="H354" s="4">
        <v>947667</v>
      </c>
      <c r="I354" s="3">
        <v>0.22689999999999999</v>
      </c>
      <c r="J354" s="3">
        <v>137.49490324855611</v>
      </c>
      <c r="K354" s="3">
        <v>66.401820581052917</v>
      </c>
    </row>
    <row r="355" spans="1:11" x14ac:dyDescent="0.2">
      <c r="A355" s="2" t="s">
        <v>43</v>
      </c>
      <c r="B355" s="2" t="s">
        <v>44</v>
      </c>
      <c r="C355" s="3">
        <v>2001</v>
      </c>
      <c r="D355" s="3">
        <v>37146.99609375</v>
      </c>
      <c r="E355" s="2"/>
      <c r="F355" s="3">
        <v>5.1155200004577601</v>
      </c>
      <c r="G355" s="2"/>
      <c r="H355" s="4">
        <v>964127</v>
      </c>
      <c r="I355" s="3">
        <v>0.23694000000000001</v>
      </c>
      <c r="J355" s="3">
        <v>131.84906786811439</v>
      </c>
      <c r="K355" s="3">
        <v>67.687481307907802</v>
      </c>
    </row>
    <row r="356" spans="1:11" x14ac:dyDescent="0.2">
      <c r="A356" s="2" t="s">
        <v>43</v>
      </c>
      <c r="B356" s="2" t="s">
        <v>44</v>
      </c>
      <c r="C356" s="3">
        <v>2002</v>
      </c>
      <c r="D356" s="3">
        <v>38090.93359375</v>
      </c>
      <c r="E356" s="3">
        <v>1.29533743858337</v>
      </c>
      <c r="F356" s="3">
        <v>5.5816698074340803</v>
      </c>
      <c r="G356" s="2"/>
      <c r="H356" s="4">
        <v>981440</v>
      </c>
      <c r="I356" s="3">
        <v>0.27966999999999997</v>
      </c>
      <c r="J356" s="3">
        <v>123.6413321233796</v>
      </c>
      <c r="K356" s="3">
        <v>67.586286838325066</v>
      </c>
    </row>
    <row r="357" spans="1:11" x14ac:dyDescent="0.2">
      <c r="A357" s="2" t="s">
        <v>43</v>
      </c>
      <c r="B357" s="2" t="s">
        <v>44</v>
      </c>
      <c r="C357" s="3">
        <v>2003</v>
      </c>
      <c r="D357" s="3">
        <v>38617.97265625</v>
      </c>
      <c r="E357" s="3">
        <v>1.1232738494873</v>
      </c>
      <c r="F357" s="3">
        <v>6.6702299118042001</v>
      </c>
      <c r="G357" s="3">
        <v>12</v>
      </c>
      <c r="H357" s="4">
        <v>999590</v>
      </c>
      <c r="I357" s="3">
        <v>0.31834000000000001</v>
      </c>
      <c r="J357" s="3">
        <v>114.0046329814846</v>
      </c>
      <c r="K357" s="3">
        <v>67.466962610428808</v>
      </c>
    </row>
    <row r="358" spans="1:11" x14ac:dyDescent="0.2">
      <c r="A358" s="2" t="s">
        <v>43</v>
      </c>
      <c r="B358" s="2" t="s">
        <v>44</v>
      </c>
      <c r="C358" s="3">
        <v>2004</v>
      </c>
      <c r="D358" s="3">
        <v>40020.08984375</v>
      </c>
      <c r="E358" s="3">
        <v>1.1075246334075901</v>
      </c>
      <c r="F358" s="3">
        <v>6.1177201271057102</v>
      </c>
      <c r="G358" s="3">
        <v>9</v>
      </c>
      <c r="H358" s="4">
        <v>1017875</v>
      </c>
      <c r="I358" s="3">
        <v>0.33563999999999999</v>
      </c>
      <c r="J358" s="3">
        <v>113.9036134892069</v>
      </c>
      <c r="K358" s="3">
        <v>67.34815913416648</v>
      </c>
    </row>
    <row r="359" spans="1:11" x14ac:dyDescent="0.2">
      <c r="A359" s="2" t="s">
        <v>43</v>
      </c>
      <c r="B359" s="2" t="s">
        <v>44</v>
      </c>
      <c r="C359" s="3">
        <v>2005</v>
      </c>
      <c r="D359" s="3">
        <v>41362.265625</v>
      </c>
      <c r="E359" s="3">
        <v>1.1524289846420299</v>
      </c>
      <c r="F359" s="3">
        <v>6.2866702079772896</v>
      </c>
      <c r="G359" s="3">
        <v>20</v>
      </c>
      <c r="H359" s="4">
        <v>1036151</v>
      </c>
      <c r="I359" s="3">
        <v>0.36726999999999999</v>
      </c>
      <c r="J359" s="3">
        <v>111.91706527195799</v>
      </c>
      <c r="K359" s="3">
        <v>68.451310157652799</v>
      </c>
    </row>
    <row r="360" spans="1:11" x14ac:dyDescent="0.2">
      <c r="A360" s="2" t="s">
        <v>43</v>
      </c>
      <c r="B360" s="2" t="s">
        <v>44</v>
      </c>
      <c r="C360" s="3">
        <v>2006</v>
      </c>
      <c r="D360" s="3">
        <v>42595.37890625</v>
      </c>
      <c r="E360" s="3">
        <v>1.2617537975311299</v>
      </c>
      <c r="F360" s="3">
        <v>6.3302798271179199</v>
      </c>
      <c r="G360" s="2"/>
      <c r="H360" s="4">
        <v>1054418</v>
      </c>
      <c r="I360" s="3">
        <v>0.38346000000000002</v>
      </c>
      <c r="J360" s="3">
        <v>109.8064980403429</v>
      </c>
      <c r="K360" s="3">
        <v>68.826945022624443</v>
      </c>
    </row>
    <row r="361" spans="1:11" x14ac:dyDescent="0.2">
      <c r="A361" s="2" t="s">
        <v>43</v>
      </c>
      <c r="B361" s="2" t="s">
        <v>44</v>
      </c>
      <c r="C361" s="3">
        <v>2007</v>
      </c>
      <c r="D361" s="3">
        <v>43823.94140625</v>
      </c>
      <c r="E361" s="3">
        <v>1.42116558551788</v>
      </c>
      <c r="F361" s="3">
        <v>6.2808399200439498</v>
      </c>
      <c r="G361" s="3">
        <v>3</v>
      </c>
      <c r="H361" s="4">
        <v>1072714</v>
      </c>
      <c r="I361" s="3">
        <v>0.40006999999999998</v>
      </c>
      <c r="J361" s="3">
        <v>111.2751228446228</v>
      </c>
      <c r="K361" s="3">
        <v>69.484525860087615</v>
      </c>
    </row>
    <row r="362" spans="1:11" x14ac:dyDescent="0.2">
      <c r="A362" s="2" t="s">
        <v>43</v>
      </c>
      <c r="B362" s="2" t="s">
        <v>44</v>
      </c>
      <c r="C362" s="3">
        <v>2008</v>
      </c>
      <c r="D362" s="3">
        <v>44295.8125</v>
      </c>
      <c r="E362" s="3">
        <v>1.5237752199173</v>
      </c>
      <c r="F362" s="3">
        <v>6.7227702140808097</v>
      </c>
      <c r="G362" s="3">
        <v>11</v>
      </c>
      <c r="H362" s="4">
        <v>1091026</v>
      </c>
      <c r="I362" s="3">
        <v>0.38594000000000001</v>
      </c>
      <c r="J362" s="3">
        <v>112.9259308747082</v>
      </c>
      <c r="K362" s="3">
        <v>69.708066007685133</v>
      </c>
    </row>
    <row r="363" spans="1:11" x14ac:dyDescent="0.2">
      <c r="A363" s="2" t="s">
        <v>43</v>
      </c>
      <c r="B363" s="2" t="s">
        <v>44</v>
      </c>
      <c r="C363" s="3">
        <v>2009</v>
      </c>
      <c r="D363" s="3">
        <v>42253.5625</v>
      </c>
      <c r="E363" s="3">
        <v>1.4143821001052901</v>
      </c>
      <c r="F363" s="3">
        <v>7.2054700851440403</v>
      </c>
      <c r="G363" s="3">
        <v>6</v>
      </c>
      <c r="H363" s="4">
        <v>1109371</v>
      </c>
      <c r="I363" s="3">
        <v>0.44436999999999999</v>
      </c>
      <c r="J363" s="3">
        <v>102.7910918991997</v>
      </c>
      <c r="K363" s="3">
        <v>70.767035637075338</v>
      </c>
    </row>
    <row r="364" spans="1:11" x14ac:dyDescent="0.2">
      <c r="A364" s="2" t="s">
        <v>43</v>
      </c>
      <c r="B364" s="2" t="s">
        <v>44</v>
      </c>
      <c r="C364" s="3">
        <v>2010</v>
      </c>
      <c r="D364" s="3">
        <v>42102.45703125</v>
      </c>
      <c r="E364" s="3">
        <v>1.52651119232178</v>
      </c>
      <c r="F364" s="3">
        <v>6.5255999565124503</v>
      </c>
      <c r="G364" s="3">
        <v>4</v>
      </c>
      <c r="H364" s="4">
        <v>1127816</v>
      </c>
      <c r="I364" s="3">
        <v>0.44291999999999998</v>
      </c>
      <c r="J364" s="3">
        <v>108.90169926952331</v>
      </c>
      <c r="K364" s="3">
        <v>70.971486561804213</v>
      </c>
    </row>
    <row r="365" spans="1:11" x14ac:dyDescent="0.2">
      <c r="A365" s="2" t="s">
        <v>43</v>
      </c>
      <c r="B365" s="2" t="s">
        <v>44</v>
      </c>
      <c r="C365" s="3">
        <v>2011</v>
      </c>
      <c r="D365" s="3">
        <v>41212.859375</v>
      </c>
      <c r="E365" s="3">
        <v>1.55788862705231</v>
      </c>
      <c r="F365" s="3">
        <v>6.5204200744628897</v>
      </c>
      <c r="G365" s="2"/>
      <c r="H365" s="4">
        <v>1146493</v>
      </c>
      <c r="I365" s="3">
        <v>0.45262999999999998</v>
      </c>
      <c r="J365" s="3">
        <v>110.6171312870391</v>
      </c>
      <c r="K365" s="3">
        <v>71.222639237233366</v>
      </c>
    </row>
    <row r="366" spans="1:11" x14ac:dyDescent="0.2">
      <c r="A366" s="2" t="s">
        <v>43</v>
      </c>
      <c r="B366" s="2" t="s">
        <v>44</v>
      </c>
      <c r="C366" s="3">
        <v>2012</v>
      </c>
      <c r="D366" s="3">
        <v>39190.3828125</v>
      </c>
      <c r="E366" s="3">
        <v>1.38360106945038</v>
      </c>
      <c r="F366" s="2"/>
      <c r="G366" s="3">
        <v>4</v>
      </c>
      <c r="H366" s="4">
        <v>1165397</v>
      </c>
      <c r="I366" s="3">
        <v>0.43764999999999998</v>
      </c>
      <c r="J366" s="3">
        <v>112.34427329727281</v>
      </c>
      <c r="K366" s="3">
        <v>71.519979199885071</v>
      </c>
    </row>
    <row r="367" spans="1:11" x14ac:dyDescent="0.2">
      <c r="A367" s="2" t="s">
        <v>43</v>
      </c>
      <c r="B367" s="2" t="s">
        <v>44</v>
      </c>
      <c r="C367" s="3">
        <v>2013</v>
      </c>
      <c r="D367" s="3">
        <v>36650.72265625</v>
      </c>
      <c r="E367" s="3">
        <v>1.3599035739898699</v>
      </c>
      <c r="F367" s="3">
        <v>6.4674701690673801</v>
      </c>
      <c r="G367" s="3">
        <v>2</v>
      </c>
      <c r="H367" s="4">
        <v>1183895</v>
      </c>
      <c r="I367" s="3">
        <v>0.48485</v>
      </c>
      <c r="J367" s="3">
        <v>120.92620063938909</v>
      </c>
      <c r="K367" s="3">
        <v>71.533021561445096</v>
      </c>
    </row>
    <row r="368" spans="1:11" x14ac:dyDescent="0.2">
      <c r="A368" s="2" t="s">
        <v>43</v>
      </c>
      <c r="B368" s="2" t="s">
        <v>44</v>
      </c>
      <c r="C368" s="3">
        <v>2014</v>
      </c>
      <c r="D368" s="3">
        <v>36105.05078125</v>
      </c>
      <c r="E368" s="3">
        <v>1.13519954681396</v>
      </c>
      <c r="F368" s="3">
        <v>6.4211101531982404</v>
      </c>
      <c r="G368" s="3">
        <v>4</v>
      </c>
      <c r="H368" s="4">
        <v>1201801</v>
      </c>
      <c r="I368" s="3">
        <v>0.51205000000000001</v>
      </c>
      <c r="J368" s="3">
        <v>130.84436307939021</v>
      </c>
      <c r="K368" s="3">
        <v>71.623223285211537</v>
      </c>
    </row>
    <row r="369" spans="1:11" x14ac:dyDescent="0.2">
      <c r="A369" s="2" t="s">
        <v>43</v>
      </c>
      <c r="B369" s="2" t="s">
        <v>44</v>
      </c>
      <c r="C369" s="3">
        <v>2015</v>
      </c>
      <c r="D369" s="3">
        <v>37258.65234375</v>
      </c>
      <c r="E369" s="3">
        <v>1.0175507068634</v>
      </c>
      <c r="F369" s="3">
        <v>6.30491018295288</v>
      </c>
      <c r="G369" s="3">
        <v>6</v>
      </c>
      <c r="H369" s="4">
        <v>1219502</v>
      </c>
      <c r="I369" s="3">
        <v>0.47528999999999999</v>
      </c>
      <c r="J369" s="3">
        <v>137.2764264771929</v>
      </c>
      <c r="K369" s="3">
        <v>72.751990578539122</v>
      </c>
    </row>
    <row r="370" spans="1:11" x14ac:dyDescent="0.2">
      <c r="A370" s="2" t="s">
        <v>43</v>
      </c>
      <c r="B370" s="2" t="s">
        <v>44</v>
      </c>
      <c r="C370" s="3">
        <v>2016</v>
      </c>
      <c r="D370" s="3">
        <v>39501.015625</v>
      </c>
      <c r="E370" s="3">
        <v>0.926266729831696</v>
      </c>
      <c r="F370" s="3">
        <v>6.1181101799011204</v>
      </c>
      <c r="G370" s="3">
        <v>3</v>
      </c>
      <c r="H370" s="4">
        <v>1237112</v>
      </c>
      <c r="I370" s="3">
        <v>0.51970000000000005</v>
      </c>
      <c r="J370" s="3">
        <v>139.02209845724809</v>
      </c>
      <c r="K370" s="3">
        <v>73.090956408460812</v>
      </c>
    </row>
    <row r="371" spans="1:11" x14ac:dyDescent="0.2">
      <c r="A371" s="2" t="s">
        <v>43</v>
      </c>
      <c r="B371" s="2" t="s">
        <v>44</v>
      </c>
      <c r="C371" s="3">
        <v>2017</v>
      </c>
      <c r="D371" s="3">
        <v>41418.16015625</v>
      </c>
      <c r="E371" s="3">
        <v>0.88537871837616</v>
      </c>
      <c r="F371" s="3">
        <v>5.6996197700500497</v>
      </c>
      <c r="G371" s="3">
        <v>8</v>
      </c>
      <c r="H371" s="4">
        <v>1254275</v>
      </c>
      <c r="I371" s="3">
        <v>0.54259000000000002</v>
      </c>
      <c r="J371" s="3">
        <v>148.01335555813529</v>
      </c>
      <c r="K371" s="3">
        <v>72.791899139912374</v>
      </c>
    </row>
    <row r="372" spans="1:11" x14ac:dyDescent="0.2">
      <c r="A372" s="2" t="s">
        <v>43</v>
      </c>
      <c r="B372" s="2" t="s">
        <v>44</v>
      </c>
      <c r="C372" s="3">
        <v>2018</v>
      </c>
      <c r="D372" s="3">
        <v>43510.2109375</v>
      </c>
      <c r="E372" s="3">
        <v>0.88362050056457497</v>
      </c>
      <c r="F372" s="2"/>
      <c r="G372" s="3">
        <v>4</v>
      </c>
      <c r="H372" s="4">
        <v>1270737</v>
      </c>
      <c r="I372" s="3">
        <v>0.61404999999999998</v>
      </c>
      <c r="J372" s="3">
        <v>147.62356741005379</v>
      </c>
      <c r="K372" s="3">
        <v>73.00069287509875</v>
      </c>
    </row>
    <row r="373" spans="1:11" x14ac:dyDescent="0.2">
      <c r="A373" s="2" t="s">
        <v>43</v>
      </c>
      <c r="B373" s="2" t="s">
        <v>44</v>
      </c>
      <c r="C373" s="3">
        <v>2019</v>
      </c>
      <c r="D373" s="3">
        <v>45454.36328125</v>
      </c>
      <c r="E373" s="3">
        <v>0.95575809478759799</v>
      </c>
      <c r="F373" s="3">
        <v>5.1629300117492702</v>
      </c>
      <c r="G373" s="3">
        <v>4</v>
      </c>
      <c r="H373" s="4">
        <v>1286671</v>
      </c>
      <c r="I373" s="3">
        <v>0.70945000000000003</v>
      </c>
      <c r="J373" s="3">
        <v>150.50616956116221</v>
      </c>
      <c r="K373" s="3">
        <v>73.236915702434828</v>
      </c>
    </row>
    <row r="374" spans="1:11" x14ac:dyDescent="0.2">
      <c r="A374" s="2" t="s">
        <v>43</v>
      </c>
      <c r="B374" s="2" t="s">
        <v>44</v>
      </c>
      <c r="C374" s="3">
        <v>2020</v>
      </c>
      <c r="D374" s="3">
        <v>43402.5390625</v>
      </c>
      <c r="E374" s="3">
        <v>0.83944851160049405</v>
      </c>
      <c r="F374" s="3">
        <v>5.5646200180053702</v>
      </c>
      <c r="G374" s="3">
        <v>2</v>
      </c>
      <c r="H374" s="4">
        <v>1302247</v>
      </c>
      <c r="I374" s="3">
        <v>0.83653999999999995</v>
      </c>
      <c r="J374" s="3">
        <v>160.66871645996949</v>
      </c>
      <c r="K374" s="3">
        <v>73.214534918839348</v>
      </c>
    </row>
    <row r="375" spans="1:11" x14ac:dyDescent="0.2">
      <c r="A375" s="2" t="s">
        <v>43</v>
      </c>
      <c r="B375" s="2" t="s">
        <v>44</v>
      </c>
      <c r="C375" s="3">
        <v>2021</v>
      </c>
      <c r="D375" s="3">
        <v>47632.76953125</v>
      </c>
      <c r="E375" s="3">
        <v>0.69791525602340698</v>
      </c>
      <c r="F375" s="3">
        <v>5.0824398994445801</v>
      </c>
      <c r="G375" s="3">
        <v>1</v>
      </c>
      <c r="H375" s="4">
        <v>1317309</v>
      </c>
      <c r="I375" s="3">
        <v>0.80030000000000001</v>
      </c>
      <c r="J375" s="3">
        <v>176.82773681987001</v>
      </c>
      <c r="K375" s="3">
        <v>73.599996177188828</v>
      </c>
    </row>
    <row r="376" spans="1:11" x14ac:dyDescent="0.2">
      <c r="A376" s="2" t="s">
        <v>45</v>
      </c>
      <c r="B376" s="2" t="s">
        <v>46</v>
      </c>
      <c r="C376" s="3">
        <v>2000</v>
      </c>
      <c r="D376" s="3">
        <v>29427.407001151361</v>
      </c>
      <c r="E376" s="3">
        <v>0.58745914697647095</v>
      </c>
      <c r="F376" s="3">
        <v>3.6199901103973402</v>
      </c>
      <c r="G376" s="3">
        <v>555</v>
      </c>
      <c r="H376" s="4">
        <v>10255063</v>
      </c>
      <c r="I376" s="3">
        <v>1.1099699999999999</v>
      </c>
      <c r="J376" s="3">
        <v>97.498395632787421</v>
      </c>
      <c r="K376" s="3">
        <v>75.823561776244588</v>
      </c>
    </row>
    <row r="377" spans="1:11" x14ac:dyDescent="0.2">
      <c r="A377" s="2" t="s">
        <v>45</v>
      </c>
      <c r="B377" s="2" t="s">
        <v>46</v>
      </c>
      <c r="C377" s="3">
        <v>2001</v>
      </c>
      <c r="D377" s="3">
        <v>30399.873076428281</v>
      </c>
      <c r="E377" s="2"/>
      <c r="F377" s="3">
        <v>3.7149000167846702</v>
      </c>
      <c r="G377" s="3">
        <v>568</v>
      </c>
      <c r="H377" s="4">
        <v>10216605</v>
      </c>
      <c r="I377" s="3">
        <v>1.0987100000000001</v>
      </c>
      <c r="J377" s="3">
        <v>98.536873730018897</v>
      </c>
      <c r="K377" s="3">
        <v>76.332065940656562</v>
      </c>
    </row>
    <row r="378" spans="1:11" x14ac:dyDescent="0.2">
      <c r="A378" s="2" t="s">
        <v>45</v>
      </c>
      <c r="B378" s="2" t="s">
        <v>46</v>
      </c>
      <c r="C378" s="3">
        <v>2002</v>
      </c>
      <c r="D378" s="3">
        <v>30919.549661870162</v>
      </c>
      <c r="E378" s="3">
        <v>0.92199730873107899</v>
      </c>
      <c r="F378" s="3">
        <v>3.9390399456024201</v>
      </c>
      <c r="G378" s="3">
        <v>526</v>
      </c>
      <c r="H378" s="4">
        <v>10196916</v>
      </c>
      <c r="I378" s="3">
        <v>1.09819</v>
      </c>
      <c r="J378" s="3">
        <v>90.879271545658185</v>
      </c>
      <c r="K378" s="3">
        <v>76.743302146464657</v>
      </c>
    </row>
    <row r="379" spans="1:11" x14ac:dyDescent="0.2">
      <c r="A379" s="2" t="s">
        <v>45</v>
      </c>
      <c r="B379" s="2" t="s">
        <v>46</v>
      </c>
      <c r="C379" s="3">
        <v>2003</v>
      </c>
      <c r="D379" s="3">
        <v>31949.296314503419</v>
      </c>
      <c r="E379" s="3">
        <v>0.85417634248733498</v>
      </c>
      <c r="F379" s="3">
        <v>4.1031198501586896</v>
      </c>
      <c r="G379" s="3">
        <v>625</v>
      </c>
      <c r="H379" s="4">
        <v>10193998</v>
      </c>
      <c r="I379" s="3">
        <v>1.1420999999999999</v>
      </c>
      <c r="J379" s="3">
        <v>94.646860066560848</v>
      </c>
      <c r="K379" s="3">
        <v>76.748416080447313</v>
      </c>
    </row>
    <row r="380" spans="1:11" x14ac:dyDescent="0.2">
      <c r="A380" s="2" t="s">
        <v>45</v>
      </c>
      <c r="B380" s="2" t="s">
        <v>46</v>
      </c>
      <c r="C380" s="3">
        <v>2004</v>
      </c>
      <c r="D380" s="3">
        <v>33452.340800061407</v>
      </c>
      <c r="E380" s="3">
        <v>0.864507555961609</v>
      </c>
      <c r="F380" s="3">
        <v>3.9813001155853298</v>
      </c>
      <c r="G380" s="3">
        <v>623</v>
      </c>
      <c r="H380" s="4">
        <v>10197101</v>
      </c>
      <c r="I380" s="3">
        <v>1.1393500000000001</v>
      </c>
      <c r="J380" s="3">
        <v>113.173975970415</v>
      </c>
      <c r="K380" s="3">
        <v>77.662317933802314</v>
      </c>
    </row>
    <row r="381" spans="1:11" x14ac:dyDescent="0.2">
      <c r="A381" s="2" t="s">
        <v>45</v>
      </c>
      <c r="B381" s="2" t="s">
        <v>46</v>
      </c>
      <c r="C381" s="3">
        <v>2005</v>
      </c>
      <c r="D381" s="3">
        <v>35535.747996151047</v>
      </c>
      <c r="E381" s="3">
        <v>0.91303074359893799</v>
      </c>
      <c r="F381" s="3">
        <v>3.86250996589661</v>
      </c>
      <c r="G381" s="3">
        <v>586</v>
      </c>
      <c r="H381" s="4">
        <v>10211216</v>
      </c>
      <c r="I381" s="3">
        <v>1.161</v>
      </c>
      <c r="J381" s="3">
        <v>121.191287316105</v>
      </c>
      <c r="K381" s="3">
        <v>77.819282963564206</v>
      </c>
    </row>
    <row r="382" spans="1:11" x14ac:dyDescent="0.2">
      <c r="A382" s="2" t="s">
        <v>45</v>
      </c>
      <c r="B382" s="2" t="s">
        <v>46</v>
      </c>
      <c r="C382" s="3">
        <v>2006</v>
      </c>
      <c r="D382" s="3">
        <v>37786.878174090532</v>
      </c>
      <c r="E382" s="3">
        <v>1.0824993848800699</v>
      </c>
      <c r="F382" s="3">
        <v>4.19624996185303</v>
      </c>
      <c r="G382" s="3">
        <v>641</v>
      </c>
      <c r="H382" s="4">
        <v>10238905</v>
      </c>
      <c r="I382" s="3">
        <v>1.22542</v>
      </c>
      <c r="J382" s="3">
        <v>127.0510150550159</v>
      </c>
      <c r="K382" s="3">
        <v>78.124709174332608</v>
      </c>
    </row>
    <row r="383" spans="1:11" x14ac:dyDescent="0.2">
      <c r="A383" s="2" t="s">
        <v>45</v>
      </c>
      <c r="B383" s="2" t="s">
        <v>46</v>
      </c>
      <c r="C383" s="3">
        <v>2007</v>
      </c>
      <c r="D383" s="3">
        <v>39629.00613247275</v>
      </c>
      <c r="E383" s="3">
        <v>0.84519183635711703</v>
      </c>
      <c r="F383" s="3">
        <v>3.8500699996948202</v>
      </c>
      <c r="G383" s="3">
        <v>716</v>
      </c>
      <c r="H383" s="4">
        <v>10298828</v>
      </c>
      <c r="I383" s="3">
        <v>1.29572</v>
      </c>
      <c r="J383" s="3">
        <v>129.87673950488889</v>
      </c>
      <c r="K383" s="3">
        <v>78.265839046717176</v>
      </c>
    </row>
    <row r="384" spans="1:11" x14ac:dyDescent="0.2">
      <c r="A384" s="2" t="s">
        <v>45</v>
      </c>
      <c r="B384" s="2" t="s">
        <v>46</v>
      </c>
      <c r="C384" s="3">
        <v>2008</v>
      </c>
      <c r="D384" s="3">
        <v>40328.342663009542</v>
      </c>
      <c r="E384" s="3">
        <v>0.951468646526337</v>
      </c>
      <c r="F384" s="3">
        <v>3.7320799827575701</v>
      </c>
      <c r="G384" s="3">
        <v>712</v>
      </c>
      <c r="H384" s="4">
        <v>10384603</v>
      </c>
      <c r="I384" s="3">
        <v>1.2335799999999999</v>
      </c>
      <c r="J384" s="3">
        <v>123.9048099299479</v>
      </c>
      <c r="K384" s="3">
        <v>78.594244978805918</v>
      </c>
    </row>
    <row r="385" spans="1:11" x14ac:dyDescent="0.2">
      <c r="A385" s="2" t="s">
        <v>45</v>
      </c>
      <c r="B385" s="2" t="s">
        <v>46</v>
      </c>
      <c r="C385" s="3">
        <v>2009</v>
      </c>
      <c r="D385" s="3">
        <v>38175.142277333383</v>
      </c>
      <c r="E385" s="3">
        <v>0.87351185083389304</v>
      </c>
      <c r="F385" s="3">
        <v>4.1553201675415004</v>
      </c>
      <c r="G385" s="3">
        <v>789</v>
      </c>
      <c r="H385" s="4">
        <v>10443936</v>
      </c>
      <c r="I385" s="3">
        <v>1.2865599999999999</v>
      </c>
      <c r="J385" s="3">
        <v>113.0492547848754</v>
      </c>
      <c r="K385" s="3">
        <v>79.365591750090189</v>
      </c>
    </row>
    <row r="386" spans="1:11" x14ac:dyDescent="0.2">
      <c r="A386" s="2" t="s">
        <v>45</v>
      </c>
      <c r="B386" s="2" t="s">
        <v>46</v>
      </c>
      <c r="C386" s="3">
        <v>2010</v>
      </c>
      <c r="D386" s="3">
        <v>39097.388621875572</v>
      </c>
      <c r="E386" s="3">
        <v>0.90172940492630005</v>
      </c>
      <c r="F386" s="3">
        <v>3.99341988563538</v>
      </c>
      <c r="G386" s="3">
        <v>868</v>
      </c>
      <c r="H386" s="4">
        <v>10474410</v>
      </c>
      <c r="I386" s="3">
        <v>1.3267</v>
      </c>
      <c r="J386" s="3">
        <v>126.7564801167978</v>
      </c>
      <c r="K386" s="3">
        <v>79.340552680826121</v>
      </c>
    </row>
    <row r="387" spans="1:11" x14ac:dyDescent="0.2">
      <c r="A387" s="2" t="s">
        <v>45</v>
      </c>
      <c r="B387" s="2" t="s">
        <v>46</v>
      </c>
      <c r="C387" s="3">
        <v>2011</v>
      </c>
      <c r="D387" s="3">
        <v>39708.162628019549</v>
      </c>
      <c r="E387" s="3">
        <v>0.92261350154876698</v>
      </c>
      <c r="F387" s="3">
        <v>4.2078800201415998</v>
      </c>
      <c r="G387" s="3">
        <v>783</v>
      </c>
      <c r="H387" s="4">
        <v>10496088</v>
      </c>
      <c r="I387" s="3">
        <v>1.54477</v>
      </c>
      <c r="J387" s="3">
        <v>136.75085554243771</v>
      </c>
      <c r="K387" s="3">
        <v>79.971261841630593</v>
      </c>
    </row>
    <row r="388" spans="1:11" x14ac:dyDescent="0.2">
      <c r="A388" s="2" t="s">
        <v>45</v>
      </c>
      <c r="B388" s="2" t="s">
        <v>46</v>
      </c>
      <c r="C388" s="3">
        <v>2012</v>
      </c>
      <c r="D388" s="3">
        <v>39347.049295684599</v>
      </c>
      <c r="E388" s="3">
        <v>0.92171859741210904</v>
      </c>
      <c r="F388" s="3">
        <v>4.1904997825622603</v>
      </c>
      <c r="G388" s="3">
        <v>867</v>
      </c>
      <c r="H388" s="4">
        <v>10510785</v>
      </c>
      <c r="I388" s="3">
        <v>1.7696700000000001</v>
      </c>
      <c r="J388" s="3">
        <v>145.48019539693459</v>
      </c>
      <c r="K388" s="3">
        <v>80.062462824675336</v>
      </c>
    </row>
    <row r="389" spans="1:11" x14ac:dyDescent="0.2">
      <c r="A389" s="2" t="s">
        <v>45</v>
      </c>
      <c r="B389" s="2" t="s">
        <v>46</v>
      </c>
      <c r="C389" s="3">
        <v>2013</v>
      </c>
      <c r="D389" s="3">
        <v>39317.553569237651</v>
      </c>
      <c r="E389" s="3">
        <v>0.91580927371978804</v>
      </c>
      <c r="F389" s="3">
        <v>4.0213298797607404</v>
      </c>
      <c r="G389" s="3">
        <v>984</v>
      </c>
      <c r="H389" s="4">
        <v>10514272</v>
      </c>
      <c r="I389" s="3">
        <v>1.87924</v>
      </c>
      <c r="J389" s="3">
        <v>145.50223062496119</v>
      </c>
      <c r="K389" s="3">
        <v>80.286894076930025</v>
      </c>
    </row>
    <row r="390" spans="1:11" x14ac:dyDescent="0.2">
      <c r="A390" s="2" t="s">
        <v>45</v>
      </c>
      <c r="B390" s="2" t="s">
        <v>46</v>
      </c>
      <c r="C390" s="3">
        <v>2014</v>
      </c>
      <c r="D390" s="3">
        <v>40158.01642757353</v>
      </c>
      <c r="E390" s="3">
        <v>1.03113341331482</v>
      </c>
      <c r="F390" s="3">
        <v>3.9360399246215798</v>
      </c>
      <c r="G390" s="3">
        <v>910</v>
      </c>
      <c r="H390" s="4">
        <v>10525347</v>
      </c>
      <c r="I390" s="3">
        <v>1.9583299999999999</v>
      </c>
      <c r="J390" s="3">
        <v>156.41512282688569</v>
      </c>
      <c r="K390" s="3">
        <v>80.942175374278492</v>
      </c>
    </row>
    <row r="391" spans="1:11" x14ac:dyDescent="0.2">
      <c r="A391" s="2" t="s">
        <v>45</v>
      </c>
      <c r="B391" s="2" t="s">
        <v>46</v>
      </c>
      <c r="C391" s="3">
        <v>2015</v>
      </c>
      <c r="D391" s="3">
        <v>42066.575980080139</v>
      </c>
      <c r="E391" s="3">
        <v>1.02559614181519</v>
      </c>
      <c r="F391" s="3">
        <v>5.7191300392150897</v>
      </c>
      <c r="G391" s="3">
        <v>880</v>
      </c>
      <c r="H391" s="4">
        <v>10546059</v>
      </c>
      <c r="I391" s="3">
        <v>1.91689</v>
      </c>
      <c r="J391" s="3">
        <v>154.01840099763251</v>
      </c>
      <c r="K391" s="3">
        <v>81.35576812545095</v>
      </c>
    </row>
    <row r="392" spans="1:11" x14ac:dyDescent="0.2">
      <c r="A392" s="2" t="s">
        <v>45</v>
      </c>
      <c r="B392" s="2" t="s">
        <v>46</v>
      </c>
      <c r="C392" s="3">
        <v>2016</v>
      </c>
      <c r="D392" s="3">
        <v>43069.465974472711</v>
      </c>
      <c r="E392" s="3">
        <v>1.0081157684326201</v>
      </c>
      <c r="F392" s="3">
        <v>5.5008001327514604</v>
      </c>
      <c r="G392" s="3">
        <v>792</v>
      </c>
      <c r="H392" s="4">
        <v>10566332</v>
      </c>
      <c r="I392" s="3">
        <v>1.6700299999999999</v>
      </c>
      <c r="J392" s="3">
        <v>148.54700466443529</v>
      </c>
      <c r="K392" s="3">
        <v>81.480867201028147</v>
      </c>
    </row>
    <row r="393" spans="1:11" x14ac:dyDescent="0.2">
      <c r="A393" s="2" t="s">
        <v>45</v>
      </c>
      <c r="B393" s="2" t="s">
        <v>46</v>
      </c>
      <c r="C393" s="3">
        <v>2017</v>
      </c>
      <c r="D393" s="3">
        <v>45177.522605363367</v>
      </c>
      <c r="E393" s="3">
        <v>1.03059422969818</v>
      </c>
      <c r="F393" s="3">
        <v>3.7557399272918701</v>
      </c>
      <c r="G393" s="3">
        <v>794</v>
      </c>
      <c r="H393" s="4">
        <v>10594438</v>
      </c>
      <c r="I393" s="3">
        <v>1.7685500000000001</v>
      </c>
      <c r="J393" s="3">
        <v>147.75083485476151</v>
      </c>
      <c r="K393" s="3">
        <v>81.176910484307356</v>
      </c>
    </row>
    <row r="394" spans="1:11" x14ac:dyDescent="0.2">
      <c r="A394" s="2" t="s">
        <v>45</v>
      </c>
      <c r="B394" s="2" t="s">
        <v>46</v>
      </c>
      <c r="C394" s="3">
        <v>2018</v>
      </c>
      <c r="D394" s="3">
        <v>46301.082036028987</v>
      </c>
      <c r="E394" s="3">
        <v>0.95115417242050204</v>
      </c>
      <c r="F394" s="3">
        <v>4.2154102325439498</v>
      </c>
      <c r="G394" s="3">
        <v>678</v>
      </c>
      <c r="H394" s="4">
        <v>10629928</v>
      </c>
      <c r="I394" s="3">
        <v>1.89906</v>
      </c>
      <c r="J394" s="3">
        <v>145.1417178907891</v>
      </c>
      <c r="K394" s="3">
        <v>81.586955783279208</v>
      </c>
    </row>
    <row r="395" spans="1:11" x14ac:dyDescent="0.2">
      <c r="A395" s="2" t="s">
        <v>45</v>
      </c>
      <c r="B395" s="2" t="s">
        <v>46</v>
      </c>
      <c r="C395" s="3">
        <v>2019</v>
      </c>
      <c r="D395" s="3">
        <v>47763.616552025429</v>
      </c>
      <c r="E395" s="3">
        <v>0.91964274644851696</v>
      </c>
      <c r="F395" s="3">
        <v>4.4673700332641602</v>
      </c>
      <c r="G395" s="3">
        <v>765</v>
      </c>
      <c r="H395" s="4">
        <v>10671870</v>
      </c>
      <c r="I395" s="3">
        <v>1.9273400000000001</v>
      </c>
      <c r="J395" s="3">
        <v>138.1546099938715</v>
      </c>
      <c r="K395" s="3">
        <v>81.915137892315997</v>
      </c>
    </row>
    <row r="396" spans="1:11" x14ac:dyDescent="0.2">
      <c r="A396" s="2" t="s">
        <v>45</v>
      </c>
      <c r="B396" s="2" t="s">
        <v>46</v>
      </c>
      <c r="C396" s="3">
        <v>2020</v>
      </c>
      <c r="D396" s="3">
        <v>45119.93873091392</v>
      </c>
      <c r="E396" s="3">
        <v>0.91096490621566795</v>
      </c>
      <c r="F396" s="3">
        <v>4.6250300407409703</v>
      </c>
      <c r="G396" s="3">
        <v>673</v>
      </c>
      <c r="H396" s="4">
        <v>10697858</v>
      </c>
      <c r="I396" s="3">
        <v>1.9859899999999999</v>
      </c>
      <c r="J396" s="3">
        <v>128.78043030596481</v>
      </c>
      <c r="K396" s="3">
        <v>82.36945027281746</v>
      </c>
    </row>
    <row r="397" spans="1:11" x14ac:dyDescent="0.2">
      <c r="A397" s="2" t="s">
        <v>45</v>
      </c>
      <c r="B397" s="2" t="s">
        <v>46</v>
      </c>
      <c r="C397" s="3">
        <v>2021</v>
      </c>
      <c r="D397" s="3">
        <v>47796.0337408466</v>
      </c>
      <c r="E397" s="3">
        <v>1.06974017620087</v>
      </c>
      <c r="F397" s="3">
        <v>4.6516399383544904</v>
      </c>
      <c r="G397" s="3">
        <v>541</v>
      </c>
      <c r="H397" s="4">
        <v>10505772</v>
      </c>
      <c r="I397" s="3">
        <v>1.9960100000000001</v>
      </c>
      <c r="J397" s="3">
        <v>137.37811630286839</v>
      </c>
      <c r="K397" s="3">
        <v>82.556665796356413</v>
      </c>
    </row>
    <row r="398" spans="1:11" x14ac:dyDescent="0.2">
      <c r="A398" s="2" t="s">
        <v>47</v>
      </c>
      <c r="B398" s="2" t="s">
        <v>48</v>
      </c>
      <c r="C398" s="3">
        <v>2000</v>
      </c>
      <c r="D398" s="3">
        <v>57907.502060390318</v>
      </c>
      <c r="E398" s="3">
        <v>1.8965488672256501</v>
      </c>
      <c r="F398" s="3">
        <v>8.0900001525878906</v>
      </c>
      <c r="G398" s="3">
        <v>1730</v>
      </c>
      <c r="H398" s="4">
        <v>5339616</v>
      </c>
      <c r="I398" s="3">
        <v>2.1861999999999999</v>
      </c>
      <c r="J398" s="3">
        <v>83.042085954886431</v>
      </c>
      <c r="K398" s="3">
        <v>81.255802395806811</v>
      </c>
    </row>
    <row r="399" spans="1:11" x14ac:dyDescent="0.2">
      <c r="A399" s="2" t="s">
        <v>47</v>
      </c>
      <c r="B399" s="2" t="s">
        <v>48</v>
      </c>
      <c r="C399" s="3">
        <v>2001</v>
      </c>
      <c r="D399" s="3">
        <v>58248.553927359033</v>
      </c>
      <c r="E399" s="2"/>
      <c r="F399" s="3">
        <v>8.2109498977661097</v>
      </c>
      <c r="G399" s="3">
        <v>1757</v>
      </c>
      <c r="H399" s="4">
        <v>5358783</v>
      </c>
      <c r="I399" s="3">
        <v>2.3246600000000002</v>
      </c>
      <c r="J399" s="3">
        <v>83.922664599028991</v>
      </c>
      <c r="K399" s="3">
        <v>81.464796233341815</v>
      </c>
    </row>
    <row r="400" spans="1:11" x14ac:dyDescent="0.2">
      <c r="A400" s="2" t="s">
        <v>47</v>
      </c>
      <c r="B400" s="2" t="s">
        <v>48</v>
      </c>
      <c r="C400" s="3">
        <v>2002</v>
      </c>
      <c r="D400" s="3">
        <v>58327.828160834237</v>
      </c>
      <c r="E400" s="3">
        <v>2.0240433216095002</v>
      </c>
      <c r="F400" s="3">
        <v>8.2060003280639595</v>
      </c>
      <c r="G400" s="3">
        <v>1815</v>
      </c>
      <c r="H400" s="4">
        <v>5375931</v>
      </c>
      <c r="I400" s="3">
        <v>2.4414500000000001</v>
      </c>
      <c r="J400" s="3">
        <v>84.484592553827071</v>
      </c>
      <c r="K400" s="3">
        <v>81.835266787624136</v>
      </c>
    </row>
    <row r="401" spans="1:11" x14ac:dyDescent="0.2">
      <c r="A401" s="2" t="s">
        <v>47</v>
      </c>
      <c r="B401" s="2" t="s">
        <v>48</v>
      </c>
      <c r="C401" s="3">
        <v>2003</v>
      </c>
      <c r="D401" s="3">
        <v>58425.965893909641</v>
      </c>
      <c r="E401" s="3">
        <v>2.0879786014556898</v>
      </c>
      <c r="F401" s="3">
        <v>8.1098403930664098</v>
      </c>
      <c r="G401" s="3">
        <v>1772</v>
      </c>
      <c r="H401" s="4">
        <v>5390574</v>
      </c>
      <c r="I401" s="3">
        <v>2.51085</v>
      </c>
      <c r="J401" s="3">
        <v>80.761300176354425</v>
      </c>
      <c r="K401" s="3">
        <v>81.840723603683898</v>
      </c>
    </row>
    <row r="402" spans="1:11" x14ac:dyDescent="0.2">
      <c r="A402" s="2" t="s">
        <v>47</v>
      </c>
      <c r="B402" s="2" t="s">
        <v>48</v>
      </c>
      <c r="C402" s="3">
        <v>2004</v>
      </c>
      <c r="D402" s="3">
        <v>59893.09298987838</v>
      </c>
      <c r="E402" s="3">
        <v>2.2872219085693399</v>
      </c>
      <c r="F402" s="3">
        <v>8.1876602172851598</v>
      </c>
      <c r="G402" s="3">
        <v>1877</v>
      </c>
      <c r="H402" s="4">
        <v>5404523</v>
      </c>
      <c r="I402" s="3">
        <v>2.4191600000000002</v>
      </c>
      <c r="J402" s="3">
        <v>82.007730824014445</v>
      </c>
      <c r="K402" s="3">
        <v>81.892483764111716</v>
      </c>
    </row>
    <row r="403" spans="1:11" x14ac:dyDescent="0.2">
      <c r="A403" s="2" t="s">
        <v>47</v>
      </c>
      <c r="B403" s="2" t="s">
        <v>48</v>
      </c>
      <c r="C403" s="3">
        <v>2005</v>
      </c>
      <c r="D403" s="3">
        <v>61137.680358296107</v>
      </c>
      <c r="E403" s="3">
        <v>2.11490678787231</v>
      </c>
      <c r="F403" s="3">
        <v>8.0647497177124006</v>
      </c>
      <c r="G403" s="3">
        <v>1658</v>
      </c>
      <c r="H403" s="4">
        <v>5419432</v>
      </c>
      <c r="I403" s="3">
        <v>2.39337</v>
      </c>
      <c r="J403" s="3">
        <v>89.398795246067081</v>
      </c>
      <c r="K403" s="3">
        <v>81.836926479076482</v>
      </c>
    </row>
    <row r="404" spans="1:11" x14ac:dyDescent="0.2">
      <c r="A404" s="2" t="s">
        <v>47</v>
      </c>
      <c r="B404" s="2" t="s">
        <v>48</v>
      </c>
      <c r="C404" s="3">
        <v>2006</v>
      </c>
      <c r="D404" s="3">
        <v>63262.740457223234</v>
      </c>
      <c r="E404" s="3">
        <v>2.2239544391632098</v>
      </c>
      <c r="F404" s="3">
        <v>7.7162399291992196</v>
      </c>
      <c r="G404" s="3">
        <v>1503</v>
      </c>
      <c r="H404" s="4">
        <v>5437272</v>
      </c>
      <c r="I404" s="3">
        <v>2.403</v>
      </c>
      <c r="J404" s="3">
        <v>97.429860772784082</v>
      </c>
      <c r="K404" s="3">
        <v>81.307379084967323</v>
      </c>
    </row>
    <row r="405" spans="1:11" x14ac:dyDescent="0.2">
      <c r="A405" s="2" t="s">
        <v>47</v>
      </c>
      <c r="B405" s="2" t="s">
        <v>48</v>
      </c>
      <c r="C405" s="3">
        <v>2007</v>
      </c>
      <c r="D405" s="3">
        <v>63604.562665819321</v>
      </c>
      <c r="E405" s="3">
        <v>2.3471908569335902</v>
      </c>
      <c r="F405" s="3">
        <v>7.5968198776245099</v>
      </c>
      <c r="G405" s="3">
        <v>1660</v>
      </c>
      <c r="H405" s="4">
        <v>5461438</v>
      </c>
      <c r="I405" s="3">
        <v>2.5154100000000001</v>
      </c>
      <c r="J405" s="3">
        <v>100.0476745940388</v>
      </c>
      <c r="K405" s="3">
        <v>81.514707520583997</v>
      </c>
    </row>
    <row r="406" spans="1:11" x14ac:dyDescent="0.2">
      <c r="A406" s="2" t="s">
        <v>47</v>
      </c>
      <c r="B406" s="2" t="s">
        <v>48</v>
      </c>
      <c r="C406" s="3">
        <v>2008</v>
      </c>
      <c r="D406" s="3">
        <v>62968.161229059588</v>
      </c>
      <c r="E406" s="3">
        <v>2.2413592338561998</v>
      </c>
      <c r="F406" s="3">
        <v>7.4419598579406703</v>
      </c>
      <c r="G406" s="3">
        <v>1634</v>
      </c>
      <c r="H406" s="4">
        <v>5493621</v>
      </c>
      <c r="I406" s="3">
        <v>2.77346</v>
      </c>
      <c r="J406" s="3">
        <v>104.47031016848879</v>
      </c>
      <c r="K406" s="3">
        <v>81.423619896443455</v>
      </c>
    </row>
    <row r="407" spans="1:11" x14ac:dyDescent="0.2">
      <c r="A407" s="2" t="s">
        <v>47</v>
      </c>
      <c r="B407" s="2" t="s">
        <v>48</v>
      </c>
      <c r="C407" s="3">
        <v>2009</v>
      </c>
      <c r="D407" s="3">
        <v>59516.509327365922</v>
      </c>
      <c r="E407" s="3">
        <v>2.2286078929901101</v>
      </c>
      <c r="F407" s="3">
        <v>8.4127998352050799</v>
      </c>
      <c r="G407" s="3">
        <v>1518</v>
      </c>
      <c r="H407" s="4">
        <v>5523095</v>
      </c>
      <c r="I407" s="3">
        <v>3.0551400000000002</v>
      </c>
      <c r="J407" s="3">
        <v>89.394856656272808</v>
      </c>
      <c r="K407" s="3">
        <v>82.043901608522205</v>
      </c>
    </row>
    <row r="408" spans="1:11" x14ac:dyDescent="0.2">
      <c r="A408" s="2" t="s">
        <v>47</v>
      </c>
      <c r="B408" s="2" t="s">
        <v>48</v>
      </c>
      <c r="C408" s="3">
        <v>2010</v>
      </c>
      <c r="D408" s="3">
        <v>60190.634606049913</v>
      </c>
      <c r="E408" s="3">
        <v>2.1000704765319802</v>
      </c>
      <c r="F408" s="3">
        <v>8.5502500534057599</v>
      </c>
      <c r="G408" s="3">
        <v>1626</v>
      </c>
      <c r="H408" s="4">
        <v>5547683</v>
      </c>
      <c r="I408" s="3">
        <v>2.9170699999999998</v>
      </c>
      <c r="J408" s="3">
        <v>94.387728231905655</v>
      </c>
      <c r="K408" s="3">
        <v>82.359088818860869</v>
      </c>
    </row>
    <row r="409" spans="1:11" x14ac:dyDescent="0.2">
      <c r="A409" s="2" t="s">
        <v>47</v>
      </c>
      <c r="B409" s="2" t="s">
        <v>48</v>
      </c>
      <c r="C409" s="3">
        <v>2011</v>
      </c>
      <c r="D409" s="3">
        <v>60729.055725512742</v>
      </c>
      <c r="E409" s="3">
        <v>2.10107469558716</v>
      </c>
      <c r="F409" s="3">
        <v>8.4771604537963903</v>
      </c>
      <c r="G409" s="3">
        <v>1574</v>
      </c>
      <c r="H409" s="4">
        <v>5570572</v>
      </c>
      <c r="I409" s="3">
        <v>2.9446500000000002</v>
      </c>
      <c r="J409" s="3">
        <v>102.01293047430831</v>
      </c>
      <c r="K409" s="3">
        <v>82.833544066717607</v>
      </c>
    </row>
    <row r="410" spans="1:11" x14ac:dyDescent="0.2">
      <c r="A410" s="2" t="s">
        <v>47</v>
      </c>
      <c r="B410" s="2" t="s">
        <v>48</v>
      </c>
      <c r="C410" s="3">
        <v>2012</v>
      </c>
      <c r="D410" s="3">
        <v>60497.691914699477</v>
      </c>
      <c r="E410" s="3">
        <v>1.9869910478591899</v>
      </c>
      <c r="F410" s="3">
        <v>7.24570989608765</v>
      </c>
      <c r="G410" s="3">
        <v>1406</v>
      </c>
      <c r="H410" s="4">
        <v>5591572</v>
      </c>
      <c r="I410" s="3">
        <v>2.9812500000000002</v>
      </c>
      <c r="J410" s="3">
        <v>104.3622805051714</v>
      </c>
      <c r="K410" s="3">
        <v>83.713219709702059</v>
      </c>
    </row>
    <row r="411" spans="1:11" x14ac:dyDescent="0.2">
      <c r="A411" s="2" t="s">
        <v>47</v>
      </c>
      <c r="B411" s="2" t="s">
        <v>48</v>
      </c>
      <c r="C411" s="3">
        <v>2013</v>
      </c>
      <c r="D411" s="3">
        <v>61085.031282110329</v>
      </c>
      <c r="E411" s="3">
        <v>1.9432629346847501</v>
      </c>
      <c r="F411" s="3">
        <v>8.4686403274536097</v>
      </c>
      <c r="G411" s="3">
        <v>1341</v>
      </c>
      <c r="H411" s="4">
        <v>5614932</v>
      </c>
      <c r="I411" s="3">
        <v>2.9704799999999998</v>
      </c>
      <c r="J411" s="3">
        <v>103.6128132491894</v>
      </c>
      <c r="K411" s="3">
        <v>83.483690533486126</v>
      </c>
    </row>
    <row r="412" spans="1:11" x14ac:dyDescent="0.2">
      <c r="A412" s="2" t="s">
        <v>47</v>
      </c>
      <c r="B412" s="2" t="s">
        <v>48</v>
      </c>
      <c r="C412" s="3">
        <v>2014</v>
      </c>
      <c r="D412" s="3">
        <v>61552.799777515691</v>
      </c>
      <c r="E412" s="3">
        <v>1.78492867946625</v>
      </c>
      <c r="F412" s="3">
        <v>7.6383399963378897</v>
      </c>
      <c r="G412" s="3">
        <v>1377</v>
      </c>
      <c r="H412" s="4">
        <v>5643475</v>
      </c>
      <c r="I412" s="3">
        <v>2.9140899999999998</v>
      </c>
      <c r="J412" s="3">
        <v>103.2108592251389</v>
      </c>
      <c r="K412" s="3">
        <v>83.905259886681947</v>
      </c>
    </row>
    <row r="413" spans="1:11" x14ac:dyDescent="0.2">
      <c r="A413" s="2" t="s">
        <v>47</v>
      </c>
      <c r="B413" s="2" t="s">
        <v>48</v>
      </c>
      <c r="C413" s="3">
        <v>2015</v>
      </c>
      <c r="D413" s="3">
        <v>62405.716194212248</v>
      </c>
      <c r="E413" s="3">
        <v>1.7947424650192301</v>
      </c>
      <c r="F413" s="2"/>
      <c r="G413" s="3">
        <v>1462</v>
      </c>
      <c r="H413" s="4">
        <v>5683483</v>
      </c>
      <c r="I413" s="3">
        <v>3.05497</v>
      </c>
      <c r="J413" s="3">
        <v>105.1303624538992</v>
      </c>
      <c r="K413" s="3">
        <v>84.602515096341577</v>
      </c>
    </row>
    <row r="414" spans="1:11" x14ac:dyDescent="0.2">
      <c r="A414" s="2" t="s">
        <v>47</v>
      </c>
      <c r="B414" s="2" t="s">
        <v>48</v>
      </c>
      <c r="C414" s="3">
        <v>2016</v>
      </c>
      <c r="D414" s="3">
        <v>63823.450201966451</v>
      </c>
      <c r="E414" s="3">
        <v>1.82117700576782</v>
      </c>
      <c r="F414" s="3">
        <v>7.7153401374816903</v>
      </c>
      <c r="G414" s="3">
        <v>1552</v>
      </c>
      <c r="H414" s="4">
        <v>5728010</v>
      </c>
      <c r="I414" s="3">
        <v>3.0928300000000002</v>
      </c>
      <c r="J414" s="3">
        <v>101.4527838086433</v>
      </c>
      <c r="K414" s="3">
        <v>84.616520189287826</v>
      </c>
    </row>
    <row r="415" spans="1:11" x14ac:dyDescent="0.2">
      <c r="A415" s="2" t="s">
        <v>47</v>
      </c>
      <c r="B415" s="2" t="s">
        <v>48</v>
      </c>
      <c r="C415" s="3">
        <v>2017</v>
      </c>
      <c r="D415" s="3">
        <v>65352.398808135309</v>
      </c>
      <c r="E415" s="3">
        <v>1.74683058261871</v>
      </c>
      <c r="F415" s="3">
        <v>7.3700098991393999</v>
      </c>
      <c r="G415" s="3">
        <v>1490</v>
      </c>
      <c r="H415" s="4">
        <v>5764980</v>
      </c>
      <c r="I415" s="3">
        <v>2.9312399999999998</v>
      </c>
      <c r="J415" s="3">
        <v>104.21567692044169</v>
      </c>
      <c r="K415" s="3">
        <v>84.493731828792122</v>
      </c>
    </row>
    <row r="416" spans="1:11" x14ac:dyDescent="0.2">
      <c r="A416" s="2" t="s">
        <v>47</v>
      </c>
      <c r="B416" s="2" t="s">
        <v>48</v>
      </c>
      <c r="C416" s="3">
        <v>2018</v>
      </c>
      <c r="D416" s="3">
        <v>66238.705427980953</v>
      </c>
      <c r="E416" s="3">
        <v>1.81060206890106</v>
      </c>
      <c r="F416" s="3">
        <v>7.3274698257446298</v>
      </c>
      <c r="G416" s="3">
        <v>1262</v>
      </c>
      <c r="H416" s="4">
        <v>5793636</v>
      </c>
      <c r="I416" s="3">
        <v>2.9660299999999999</v>
      </c>
      <c r="J416" s="3">
        <v>108.8139855019087</v>
      </c>
      <c r="K416" s="3">
        <v>84.140638441134016</v>
      </c>
    </row>
    <row r="417" spans="1:11" x14ac:dyDescent="0.2">
      <c r="A417" s="2" t="s">
        <v>47</v>
      </c>
      <c r="B417" s="2" t="s">
        <v>48</v>
      </c>
      <c r="C417" s="3">
        <v>2019</v>
      </c>
      <c r="D417" s="3">
        <v>67131.465700973436</v>
      </c>
      <c r="E417" s="3">
        <v>1.87326776981354</v>
      </c>
      <c r="F417" s="3">
        <v>7.27587985992432</v>
      </c>
      <c r="G417" s="3">
        <v>1351</v>
      </c>
      <c r="H417" s="4">
        <v>5814422</v>
      </c>
      <c r="I417" s="3">
        <v>2.8968500000000001</v>
      </c>
      <c r="J417" s="3">
        <v>111.8914750656526</v>
      </c>
      <c r="K417" s="3">
        <v>84.658923204736425</v>
      </c>
    </row>
    <row r="418" spans="1:11" x14ac:dyDescent="0.2">
      <c r="A418" s="2" t="s">
        <v>47</v>
      </c>
      <c r="B418" s="2" t="s">
        <v>48</v>
      </c>
      <c r="C418" s="3">
        <v>2020</v>
      </c>
      <c r="D418" s="3">
        <v>65744.436725195905</v>
      </c>
      <c r="E418" s="3">
        <v>1.8400673866271999</v>
      </c>
      <c r="F418" s="3">
        <v>7.3857398033142099</v>
      </c>
      <c r="G418" s="3">
        <v>1261</v>
      </c>
      <c r="H418" s="4">
        <v>5831404</v>
      </c>
      <c r="I418" s="3">
        <v>2.9725799999999998</v>
      </c>
      <c r="J418" s="3">
        <v>104.43343267115139</v>
      </c>
      <c r="K418" s="3">
        <v>85.014769790340367</v>
      </c>
    </row>
    <row r="419" spans="1:11" x14ac:dyDescent="0.2">
      <c r="A419" s="2" t="s">
        <v>47</v>
      </c>
      <c r="B419" s="2" t="s">
        <v>48</v>
      </c>
      <c r="C419" s="3">
        <v>2021</v>
      </c>
      <c r="D419" s="3">
        <v>69715.180968092885</v>
      </c>
      <c r="E419" s="3">
        <v>1.95973408222198</v>
      </c>
      <c r="F419" s="3">
        <v>6.9591598510742196</v>
      </c>
      <c r="G419" s="3">
        <v>1090</v>
      </c>
      <c r="H419" s="4">
        <v>5856733</v>
      </c>
      <c r="I419" s="3">
        <v>2.7614200000000002</v>
      </c>
      <c r="J419" s="3">
        <v>112.3214726972907</v>
      </c>
      <c r="K419" s="3">
        <v>84.913087692046517</v>
      </c>
    </row>
    <row r="420" spans="1:11" x14ac:dyDescent="0.2">
      <c r="A420" s="2" t="s">
        <v>49</v>
      </c>
      <c r="B420" s="2" t="s">
        <v>50</v>
      </c>
      <c r="C420" s="3">
        <v>2000</v>
      </c>
      <c r="D420" s="3">
        <v>9981.6277508313815</v>
      </c>
      <c r="E420" s="3">
        <v>-0.17475932836532601</v>
      </c>
      <c r="F420" s="2"/>
      <c r="G420" s="3">
        <v>534</v>
      </c>
      <c r="H420" s="4">
        <v>73083284</v>
      </c>
      <c r="I420" s="3">
        <v>0.19247</v>
      </c>
      <c r="J420" s="3">
        <v>39.017935901205533</v>
      </c>
      <c r="K420" s="3">
        <v>63.861404329004337</v>
      </c>
    </row>
    <row r="421" spans="1:11" x14ac:dyDescent="0.2">
      <c r="A421" s="2" t="s">
        <v>49</v>
      </c>
      <c r="B421" s="2" t="s">
        <v>50</v>
      </c>
      <c r="C421" s="3">
        <v>2001</v>
      </c>
      <c r="D421" s="3">
        <v>10117.333182169899</v>
      </c>
      <c r="E421" s="2"/>
      <c r="F421" s="2"/>
      <c r="G421" s="3">
        <v>464</v>
      </c>
      <c r="H421" s="4">
        <v>74652029</v>
      </c>
      <c r="I421" s="2"/>
      <c r="J421" s="3">
        <v>39.810426540284361</v>
      </c>
      <c r="K421" s="3">
        <v>63.836481266445979</v>
      </c>
    </row>
    <row r="422" spans="1:11" x14ac:dyDescent="0.2">
      <c r="A422" s="2" t="s">
        <v>49</v>
      </c>
      <c r="B422" s="2" t="s">
        <v>50</v>
      </c>
      <c r="C422" s="3">
        <v>2002</v>
      </c>
      <c r="D422" s="3">
        <v>10143.506345570209</v>
      </c>
      <c r="E422" s="3">
        <v>-0.44609829783439597</v>
      </c>
      <c r="F422" s="2"/>
      <c r="G422" s="3">
        <v>627</v>
      </c>
      <c r="H422" s="4">
        <v>76239137</v>
      </c>
      <c r="I422" s="2"/>
      <c r="J422" s="3">
        <v>40.987067827922942</v>
      </c>
      <c r="K422" s="3">
        <v>63.801237055428238</v>
      </c>
    </row>
    <row r="423" spans="1:11" x14ac:dyDescent="0.2">
      <c r="A423" s="2" t="s">
        <v>49</v>
      </c>
      <c r="B423" s="2" t="s">
        <v>50</v>
      </c>
      <c r="C423" s="3">
        <v>2003</v>
      </c>
      <c r="D423" s="3">
        <v>10250.37655004591</v>
      </c>
      <c r="E423" s="3">
        <v>-0.389788568019867</v>
      </c>
      <c r="F423" s="3">
        <v>4.9456300735473597</v>
      </c>
      <c r="G423" s="3">
        <v>493</v>
      </c>
      <c r="H423" s="4">
        <v>77853548</v>
      </c>
      <c r="I423" s="2"/>
      <c r="J423" s="3">
        <v>46.179640718562872</v>
      </c>
      <c r="K423" s="3">
        <v>63.63750997793057</v>
      </c>
    </row>
    <row r="424" spans="1:11" x14ac:dyDescent="0.2">
      <c r="A424" s="2" t="s">
        <v>49</v>
      </c>
      <c r="B424" s="2" t="s">
        <v>50</v>
      </c>
      <c r="C424" s="3">
        <v>2004</v>
      </c>
      <c r="D424" s="3">
        <v>10451.82175115369</v>
      </c>
      <c r="E424" s="3">
        <v>-0.278711497783661</v>
      </c>
      <c r="F424" s="3">
        <v>4.6707201004028303</v>
      </c>
      <c r="G424" s="3">
        <v>382</v>
      </c>
      <c r="H424" s="4">
        <v>79477443</v>
      </c>
      <c r="I424" s="3">
        <v>0.26994000000000001</v>
      </c>
      <c r="J424" s="3">
        <v>57.81990521327014</v>
      </c>
      <c r="K424" s="3">
        <v>63.608974291231647</v>
      </c>
    </row>
    <row r="425" spans="1:11" x14ac:dyDescent="0.2">
      <c r="A425" s="2" t="s">
        <v>49</v>
      </c>
      <c r="B425" s="2" t="s">
        <v>50</v>
      </c>
      <c r="C425" s="3">
        <v>2005</v>
      </c>
      <c r="D425" s="3">
        <v>10700.60903732318</v>
      </c>
      <c r="E425" s="3">
        <v>-0.39905673265457198</v>
      </c>
      <c r="F425" s="3">
        <v>4.7944297790527299</v>
      </c>
      <c r="G425" s="3">
        <v>428</v>
      </c>
      <c r="H425" s="4">
        <v>81101004</v>
      </c>
      <c r="I425" s="3">
        <v>0.24141000000000001</v>
      </c>
      <c r="J425" s="3">
        <v>62.952646239554319</v>
      </c>
      <c r="K425" s="3">
        <v>63.710062832102537</v>
      </c>
    </row>
    <row r="426" spans="1:11" x14ac:dyDescent="0.2">
      <c r="A426" s="2" t="s">
        <v>49</v>
      </c>
      <c r="B426" s="2" t="s">
        <v>50</v>
      </c>
      <c r="C426" s="3">
        <v>2006</v>
      </c>
      <c r="D426" s="3">
        <v>11211.832022950841</v>
      </c>
      <c r="E426" s="3">
        <v>-0.49823722243308999</v>
      </c>
      <c r="F426" s="3">
        <v>4.0017800331115696</v>
      </c>
      <c r="G426" s="2"/>
      <c r="H426" s="4">
        <v>82700403</v>
      </c>
      <c r="I426" s="3">
        <v>0.25902999999999998</v>
      </c>
      <c r="J426" s="3">
        <v>61.518536506394703</v>
      </c>
      <c r="K426" s="3">
        <v>63.835545327221809</v>
      </c>
    </row>
    <row r="427" spans="1:11" x14ac:dyDescent="0.2">
      <c r="A427" s="2" t="s">
        <v>49</v>
      </c>
      <c r="B427" s="2" t="s">
        <v>50</v>
      </c>
      <c r="C427" s="3">
        <v>2007</v>
      </c>
      <c r="D427" s="3">
        <v>11782.006071796621</v>
      </c>
      <c r="E427" s="3">
        <v>-0.37472638487815901</v>
      </c>
      <c r="F427" s="3">
        <v>3.68460988998413</v>
      </c>
      <c r="G427" s="3">
        <v>516</v>
      </c>
      <c r="H427" s="4">
        <v>84276225</v>
      </c>
      <c r="I427" s="3">
        <v>0.25509999999999999</v>
      </c>
      <c r="J427" s="3">
        <v>65.077873254564992</v>
      </c>
      <c r="K427" s="3">
        <v>64.60639837450131</v>
      </c>
    </row>
    <row r="428" spans="1:11" x14ac:dyDescent="0.2">
      <c r="A428" s="2" t="s">
        <v>49</v>
      </c>
      <c r="B428" s="2" t="s">
        <v>50</v>
      </c>
      <c r="C428" s="3">
        <v>2008</v>
      </c>
      <c r="D428" s="3">
        <v>12391.584762470469</v>
      </c>
      <c r="E428" s="3">
        <v>-0.38070353865623502</v>
      </c>
      <c r="F428" s="3">
        <v>3.7608299255371098</v>
      </c>
      <c r="G428" s="3">
        <v>481</v>
      </c>
      <c r="H428" s="4">
        <v>85864789</v>
      </c>
      <c r="I428" s="3">
        <v>0.27023999999999998</v>
      </c>
      <c r="J428" s="3">
        <v>71.680625348967055</v>
      </c>
      <c r="K428" s="3">
        <v>64.62761109837875</v>
      </c>
    </row>
    <row r="429" spans="1:11" x14ac:dyDescent="0.2">
      <c r="A429" s="2" t="s">
        <v>49</v>
      </c>
      <c r="B429" s="2" t="s">
        <v>50</v>
      </c>
      <c r="C429" s="3">
        <v>2009</v>
      </c>
      <c r="D429" s="3">
        <v>12728.081458673651</v>
      </c>
      <c r="E429" s="3">
        <v>-0.20808809995651201</v>
      </c>
      <c r="F429" s="2"/>
      <c r="G429" s="3">
        <v>490</v>
      </c>
      <c r="H429" s="4">
        <v>87501636</v>
      </c>
      <c r="I429" s="3">
        <v>0.43312</v>
      </c>
      <c r="J429" s="3">
        <v>56.553444636346192</v>
      </c>
      <c r="K429" s="3">
        <v>64.765461688311689</v>
      </c>
    </row>
    <row r="430" spans="1:11" x14ac:dyDescent="0.2">
      <c r="A430" s="2" t="s">
        <v>49</v>
      </c>
      <c r="B430" s="2" t="s">
        <v>50</v>
      </c>
      <c r="C430" s="3">
        <v>2010</v>
      </c>
      <c r="D430" s="3">
        <v>13128.987833408461</v>
      </c>
      <c r="E430" s="3">
        <v>-0.321309953927994</v>
      </c>
      <c r="F430" s="2"/>
      <c r="G430" s="3">
        <v>605</v>
      </c>
      <c r="H430" s="4">
        <v>89196072</v>
      </c>
      <c r="I430" s="3">
        <v>0.43345</v>
      </c>
      <c r="J430" s="3">
        <v>47.936350074589747</v>
      </c>
      <c r="K430" s="3">
        <v>65.379041006705719</v>
      </c>
    </row>
    <row r="431" spans="1:11" x14ac:dyDescent="0.2">
      <c r="A431" s="2" t="s">
        <v>49</v>
      </c>
      <c r="B431" s="2" t="s">
        <v>50</v>
      </c>
      <c r="C431" s="3">
        <v>2011</v>
      </c>
      <c r="D431" s="3">
        <v>13082.42636807013</v>
      </c>
      <c r="E431" s="3">
        <v>-0.44088906049728399</v>
      </c>
      <c r="F431" s="2"/>
      <c r="G431" s="3">
        <v>618</v>
      </c>
      <c r="H431" s="4">
        <v>91093059</v>
      </c>
      <c r="I431" s="3">
        <v>0.53154000000000001</v>
      </c>
      <c r="J431" s="3">
        <v>45.255634162351399</v>
      </c>
      <c r="K431" s="3">
        <v>65.691855124777177</v>
      </c>
    </row>
    <row r="432" spans="1:11" x14ac:dyDescent="0.2">
      <c r="A432" s="2" t="s">
        <v>49</v>
      </c>
      <c r="B432" s="2" t="s">
        <v>50</v>
      </c>
      <c r="C432" s="3">
        <v>2012</v>
      </c>
      <c r="D432" s="3">
        <v>13076.805239591389</v>
      </c>
      <c r="E432" s="3">
        <v>-0.68187820911407504</v>
      </c>
      <c r="F432" s="2"/>
      <c r="G432" s="3">
        <v>683</v>
      </c>
      <c r="H432" s="4">
        <v>93161001</v>
      </c>
      <c r="I432" s="3">
        <v>0.50899000000000005</v>
      </c>
      <c r="J432" s="3">
        <v>40.711769272108441</v>
      </c>
      <c r="K432" s="3">
        <v>66.023022075800014</v>
      </c>
    </row>
    <row r="433" spans="1:11" x14ac:dyDescent="0.2">
      <c r="A433" s="2" t="s">
        <v>49</v>
      </c>
      <c r="B433" s="2" t="s">
        <v>50</v>
      </c>
      <c r="C433" s="3">
        <v>2013</v>
      </c>
      <c r="D433" s="3">
        <v>13058.074823925759</v>
      </c>
      <c r="E433" s="3">
        <v>-0.782936871051788</v>
      </c>
      <c r="F433" s="2"/>
      <c r="G433" s="3">
        <v>641</v>
      </c>
      <c r="H433" s="4">
        <v>95333553</v>
      </c>
      <c r="I433" s="3">
        <v>0.63895000000000002</v>
      </c>
      <c r="J433" s="3">
        <v>40.373038056331971</v>
      </c>
      <c r="K433" s="3">
        <v>66.250051005856889</v>
      </c>
    </row>
    <row r="434" spans="1:11" x14ac:dyDescent="0.2">
      <c r="A434" s="2" t="s">
        <v>49</v>
      </c>
      <c r="B434" s="2" t="s">
        <v>50</v>
      </c>
      <c r="C434" s="3">
        <v>2014</v>
      </c>
      <c r="D434" s="3">
        <v>13136.36562982698</v>
      </c>
      <c r="E434" s="3">
        <v>-0.71665674448013295</v>
      </c>
      <c r="F434" s="2"/>
      <c r="G434" s="3">
        <v>752</v>
      </c>
      <c r="H434" s="4">
        <v>97528654</v>
      </c>
      <c r="I434" s="3">
        <v>0.63649</v>
      </c>
      <c r="J434" s="3">
        <v>36.920187793427232</v>
      </c>
      <c r="K434" s="3">
        <v>66.015854358713185</v>
      </c>
    </row>
    <row r="435" spans="1:11" x14ac:dyDescent="0.2">
      <c r="A435" s="2" t="s">
        <v>49</v>
      </c>
      <c r="B435" s="2" t="s">
        <v>50</v>
      </c>
      <c r="C435" s="3">
        <v>2015</v>
      </c>
      <c r="D435" s="3">
        <v>13425.911959977489</v>
      </c>
      <c r="E435" s="3">
        <v>-0.69032776355743397</v>
      </c>
      <c r="F435" s="2"/>
      <c r="G435" s="3">
        <v>718</v>
      </c>
      <c r="H435" s="4">
        <v>99597342</v>
      </c>
      <c r="I435" s="3">
        <v>0.71858</v>
      </c>
      <c r="J435" s="3">
        <v>34.84594296002291</v>
      </c>
      <c r="K435" s="3">
        <v>65.406398680078098</v>
      </c>
    </row>
    <row r="436" spans="1:11" x14ac:dyDescent="0.2">
      <c r="A436" s="2" t="s">
        <v>49</v>
      </c>
      <c r="B436" s="2" t="s">
        <v>50</v>
      </c>
      <c r="C436" s="3">
        <v>2016</v>
      </c>
      <c r="D436" s="3">
        <v>13727.320160049379</v>
      </c>
      <c r="E436" s="3">
        <v>-0.536168873310089</v>
      </c>
      <c r="F436" s="2"/>
      <c r="G436" s="3">
        <v>920</v>
      </c>
      <c r="H436" s="4">
        <v>101644589</v>
      </c>
      <c r="I436" s="3">
        <v>0.70848</v>
      </c>
      <c r="J436" s="3">
        <v>30.246549051450501</v>
      </c>
      <c r="K436" s="3">
        <v>65.845325961293611</v>
      </c>
    </row>
    <row r="437" spans="1:11" x14ac:dyDescent="0.2">
      <c r="A437" s="2" t="s">
        <v>49</v>
      </c>
      <c r="B437" s="2" t="s">
        <v>50</v>
      </c>
      <c r="C437" s="3">
        <v>2017</v>
      </c>
      <c r="D437" s="3">
        <v>14018.36059345295</v>
      </c>
      <c r="E437" s="3">
        <v>-0.53063201904296897</v>
      </c>
      <c r="F437" s="2"/>
      <c r="G437" s="3">
        <v>1025</v>
      </c>
      <c r="H437" s="4">
        <v>103696057</v>
      </c>
      <c r="I437" s="3">
        <v>0.64485999999999999</v>
      </c>
      <c r="J437" s="3">
        <v>42.832134358160793</v>
      </c>
      <c r="K437" s="3">
        <v>66.02484807316867</v>
      </c>
    </row>
    <row r="438" spans="1:11" x14ac:dyDescent="0.2">
      <c r="A438" s="2" t="s">
        <v>49</v>
      </c>
      <c r="B438" s="2" t="s">
        <v>50</v>
      </c>
      <c r="C438" s="3">
        <v>2018</v>
      </c>
      <c r="D438" s="3">
        <v>14488.209434048351</v>
      </c>
      <c r="E438" s="3">
        <v>-0.454036295413971</v>
      </c>
      <c r="F438" s="2"/>
      <c r="G438" s="3">
        <v>997</v>
      </c>
      <c r="H438" s="4">
        <v>105682094</v>
      </c>
      <c r="I438" s="3">
        <v>0.68838999999999995</v>
      </c>
      <c r="J438" s="3">
        <v>45.911019673395913</v>
      </c>
      <c r="K438" s="3">
        <v>66.287104704609092</v>
      </c>
    </row>
    <row r="439" spans="1:11" x14ac:dyDescent="0.2">
      <c r="A439" s="2" t="s">
        <v>49</v>
      </c>
      <c r="B439" s="2" t="s">
        <v>50</v>
      </c>
      <c r="C439" s="3">
        <v>2019</v>
      </c>
      <c r="D439" s="3">
        <v>15026.56824380969</v>
      </c>
      <c r="E439" s="3">
        <v>-0.25135430693626398</v>
      </c>
      <c r="F439" s="2"/>
      <c r="G439" s="3">
        <v>1027</v>
      </c>
      <c r="H439" s="4">
        <v>107553158</v>
      </c>
      <c r="I439" s="3">
        <v>0.79617000000000004</v>
      </c>
      <c r="J439" s="3">
        <v>41.124017155110792</v>
      </c>
      <c r="K439" s="3">
        <v>66.670443419489018</v>
      </c>
    </row>
    <row r="440" spans="1:11" x14ac:dyDescent="0.2">
      <c r="A440" s="2" t="s">
        <v>49</v>
      </c>
      <c r="B440" s="2" t="s">
        <v>50</v>
      </c>
      <c r="C440" s="3">
        <v>2020</v>
      </c>
      <c r="D440" s="3">
        <v>15309.23598817024</v>
      </c>
      <c r="E440" s="3">
        <v>-0.44617161154746998</v>
      </c>
      <c r="F440" s="2"/>
      <c r="G440" s="3">
        <v>978</v>
      </c>
      <c r="H440" s="4">
        <v>109315124</v>
      </c>
      <c r="I440" s="3">
        <v>0.91564000000000001</v>
      </c>
      <c r="J440" s="3">
        <v>32.126255566752263</v>
      </c>
      <c r="K440" s="3">
        <v>67.429166267719211</v>
      </c>
    </row>
    <row r="441" spans="1:11" x14ac:dyDescent="0.2">
      <c r="A441" s="2" t="s">
        <v>49</v>
      </c>
      <c r="B441" s="2" t="s">
        <v>50</v>
      </c>
      <c r="C441" s="3">
        <v>2021</v>
      </c>
      <c r="D441" s="3">
        <v>15579.016086155119</v>
      </c>
      <c r="E441" s="3">
        <v>-0.45769679546356201</v>
      </c>
      <c r="F441" s="2"/>
      <c r="G441" s="3">
        <v>881</v>
      </c>
      <c r="H441" s="4">
        <v>110957008</v>
      </c>
      <c r="I441" s="3">
        <v>0.91174999999999995</v>
      </c>
      <c r="J441" s="3">
        <v>29.856973480812229</v>
      </c>
      <c r="K441" s="3">
        <v>67.798087080892969</v>
      </c>
    </row>
    <row r="442" spans="1:11" x14ac:dyDescent="0.2">
      <c r="A442" s="2" t="s">
        <v>51</v>
      </c>
      <c r="B442" s="2" t="s">
        <v>52</v>
      </c>
      <c r="C442" s="3">
        <v>2000</v>
      </c>
      <c r="D442" s="3">
        <v>20528.570819557259</v>
      </c>
      <c r="E442" s="3">
        <v>0.68782687187194802</v>
      </c>
      <c r="F442" s="3">
        <v>5.33945989608765</v>
      </c>
      <c r="G442" s="3">
        <v>13</v>
      </c>
      <c r="H442" s="4">
        <v>1396985</v>
      </c>
      <c r="I442" s="3">
        <v>0.6</v>
      </c>
      <c r="J442" s="3">
        <v>126.49562636865861</v>
      </c>
      <c r="K442" s="3">
        <v>71.884045299635019</v>
      </c>
    </row>
    <row r="443" spans="1:11" x14ac:dyDescent="0.2">
      <c r="A443" s="2" t="s">
        <v>51</v>
      </c>
      <c r="B443" s="2" t="s">
        <v>52</v>
      </c>
      <c r="C443" s="3">
        <v>2001</v>
      </c>
      <c r="D443" s="3">
        <v>21874.694833487491</v>
      </c>
      <c r="E443" s="2"/>
      <c r="F443" s="3">
        <v>5.2321701049804696</v>
      </c>
      <c r="G443" s="3">
        <v>18</v>
      </c>
      <c r="H443" s="4">
        <v>1388115</v>
      </c>
      <c r="I443" s="3">
        <v>0.69838999999999996</v>
      </c>
      <c r="J443" s="3">
        <v>126.5466400672919</v>
      </c>
      <c r="K443" s="3">
        <v>71.84426865291573</v>
      </c>
    </row>
    <row r="444" spans="1:11" x14ac:dyDescent="0.2">
      <c r="A444" s="2" t="s">
        <v>51</v>
      </c>
      <c r="B444" s="2" t="s">
        <v>52</v>
      </c>
      <c r="C444" s="3">
        <v>2002</v>
      </c>
      <c r="D444" s="3">
        <v>23539.906067575899</v>
      </c>
      <c r="E444" s="3">
        <v>0.66788649559020996</v>
      </c>
      <c r="F444" s="3">
        <v>5.4330301284790004</v>
      </c>
      <c r="G444" s="3">
        <v>19</v>
      </c>
      <c r="H444" s="4">
        <v>1379350</v>
      </c>
      <c r="I444" s="3">
        <v>0.71203000000000005</v>
      </c>
      <c r="J444" s="3">
        <v>123.2823453875701</v>
      </c>
      <c r="K444" s="3">
        <v>71.83017552839317</v>
      </c>
    </row>
    <row r="445" spans="1:11" x14ac:dyDescent="0.2">
      <c r="A445" s="2" t="s">
        <v>51</v>
      </c>
      <c r="B445" s="2" t="s">
        <v>52</v>
      </c>
      <c r="C445" s="3">
        <v>2003</v>
      </c>
      <c r="D445" s="3">
        <v>25487.532915298671</v>
      </c>
      <c r="E445" s="3">
        <v>0.88027060031890902</v>
      </c>
      <c r="F445" s="3">
        <v>5.2717199325561497</v>
      </c>
      <c r="G445" s="3">
        <v>18</v>
      </c>
      <c r="H445" s="4">
        <v>1370720</v>
      </c>
      <c r="I445" s="3">
        <v>0.76465000000000005</v>
      </c>
      <c r="J445" s="3">
        <v>122.74477280779649</v>
      </c>
      <c r="K445" s="3">
        <v>71.615121653509888</v>
      </c>
    </row>
    <row r="446" spans="1:11" x14ac:dyDescent="0.2">
      <c r="A446" s="2" t="s">
        <v>51</v>
      </c>
      <c r="B446" s="2" t="s">
        <v>52</v>
      </c>
      <c r="C446" s="3">
        <v>2004</v>
      </c>
      <c r="D446" s="3">
        <v>27384.083148879829</v>
      </c>
      <c r="E446" s="3">
        <v>0.90334391593933105</v>
      </c>
      <c r="F446" s="3">
        <v>4.8756699562072798</v>
      </c>
      <c r="G446" s="3">
        <v>27</v>
      </c>
      <c r="H446" s="4">
        <v>1362550</v>
      </c>
      <c r="I446" s="3">
        <v>0.84584000000000004</v>
      </c>
      <c r="J446" s="3">
        <v>129.9495000776615</v>
      </c>
      <c r="K446" s="3">
        <v>75.100303467447603</v>
      </c>
    </row>
    <row r="447" spans="1:11" x14ac:dyDescent="0.2">
      <c r="A447" s="2" t="s">
        <v>51</v>
      </c>
      <c r="B447" s="2" t="s">
        <v>52</v>
      </c>
      <c r="C447" s="3">
        <v>2005</v>
      </c>
      <c r="D447" s="3">
        <v>30164.00637118606</v>
      </c>
      <c r="E447" s="3">
        <v>0.93784004449844405</v>
      </c>
      <c r="F447" s="3">
        <v>4.8093500137329102</v>
      </c>
      <c r="G447" s="3">
        <v>23</v>
      </c>
      <c r="H447" s="4">
        <v>1354775</v>
      </c>
      <c r="I447" s="3">
        <v>0.91705000000000003</v>
      </c>
      <c r="J447" s="3">
        <v>135.9127921151067</v>
      </c>
      <c r="K447" s="3">
        <v>75.649245891690015</v>
      </c>
    </row>
    <row r="448" spans="1:11" x14ac:dyDescent="0.2">
      <c r="A448" s="2" t="s">
        <v>51</v>
      </c>
      <c r="B448" s="2" t="s">
        <v>52</v>
      </c>
      <c r="C448" s="3">
        <v>2006</v>
      </c>
      <c r="D448" s="3">
        <v>33304.593537733293</v>
      </c>
      <c r="E448" s="3">
        <v>1.1469151973724401</v>
      </c>
      <c r="F448" s="2"/>
      <c r="G448" s="3">
        <v>36</v>
      </c>
      <c r="H448" s="4">
        <v>1346810</v>
      </c>
      <c r="I448" s="3">
        <v>1.11277</v>
      </c>
      <c r="J448" s="3">
        <v>136.62073766264541</v>
      </c>
      <c r="K448" s="3">
        <v>75.55584507045242</v>
      </c>
    </row>
    <row r="449" spans="1:11" x14ac:dyDescent="0.2">
      <c r="A449" s="2" t="s">
        <v>51</v>
      </c>
      <c r="B449" s="2" t="s">
        <v>52</v>
      </c>
      <c r="C449" s="3">
        <v>2007</v>
      </c>
      <c r="D449" s="3">
        <v>35989.864986622029</v>
      </c>
      <c r="E449" s="3">
        <v>1.00763607025146</v>
      </c>
      <c r="F449" s="3">
        <v>4.6196699142456001</v>
      </c>
      <c r="G449" s="3">
        <v>44</v>
      </c>
      <c r="H449" s="4">
        <v>1340680</v>
      </c>
      <c r="I449" s="3">
        <v>1.05874</v>
      </c>
      <c r="J449" s="3">
        <v>133.98082923575379</v>
      </c>
      <c r="K449" s="3">
        <v>75.723906642050764</v>
      </c>
    </row>
    <row r="450" spans="1:11" x14ac:dyDescent="0.2">
      <c r="A450" s="2" t="s">
        <v>51</v>
      </c>
      <c r="B450" s="2" t="s">
        <v>52</v>
      </c>
      <c r="C450" s="3">
        <v>2008</v>
      </c>
      <c r="D450" s="3">
        <v>34236.950125417017</v>
      </c>
      <c r="E450" s="3">
        <v>1.15763688087463</v>
      </c>
      <c r="F450" s="3">
        <v>5.4837598800659197</v>
      </c>
      <c r="G450" s="3">
        <v>62</v>
      </c>
      <c r="H450" s="4">
        <v>1337090</v>
      </c>
      <c r="I450" s="3">
        <v>1.2518800000000001</v>
      </c>
      <c r="J450" s="3">
        <v>136.681988157836</v>
      </c>
      <c r="K450" s="3">
        <v>76.293361773194121</v>
      </c>
    </row>
    <row r="451" spans="1:11" x14ac:dyDescent="0.2">
      <c r="A451" s="2" t="s">
        <v>51</v>
      </c>
      <c r="B451" s="2" t="s">
        <v>52</v>
      </c>
      <c r="C451" s="3">
        <v>2009</v>
      </c>
      <c r="D451" s="3">
        <v>29284.40473941082</v>
      </c>
      <c r="E451" s="3">
        <v>1.00224792957306</v>
      </c>
      <c r="F451" s="3">
        <v>5.9597601890564</v>
      </c>
      <c r="G451" s="3">
        <v>76</v>
      </c>
      <c r="H451" s="4">
        <v>1334515</v>
      </c>
      <c r="I451" s="3">
        <v>1.39679</v>
      </c>
      <c r="J451" s="3">
        <v>116.7590798598016</v>
      </c>
      <c r="K451" s="3">
        <v>77.552911412443763</v>
      </c>
    </row>
    <row r="452" spans="1:11" x14ac:dyDescent="0.2">
      <c r="A452" s="2" t="s">
        <v>51</v>
      </c>
      <c r="B452" s="2" t="s">
        <v>52</v>
      </c>
      <c r="C452" s="3">
        <v>2010</v>
      </c>
      <c r="D452" s="3">
        <v>30070.2990791103</v>
      </c>
      <c r="E452" s="3">
        <v>1.07666647434235</v>
      </c>
      <c r="F452" s="3">
        <v>5.5175399780273402</v>
      </c>
      <c r="G452" s="3">
        <v>84</v>
      </c>
      <c r="H452" s="4">
        <v>1331475</v>
      </c>
      <c r="I452" s="3">
        <v>1.5789899999999999</v>
      </c>
      <c r="J452" s="3">
        <v>143.6717622569779</v>
      </c>
      <c r="K452" s="3">
        <v>76.435093614718639</v>
      </c>
    </row>
    <row r="453" spans="1:11" x14ac:dyDescent="0.2">
      <c r="A453" s="2" t="s">
        <v>51</v>
      </c>
      <c r="B453" s="2" t="s">
        <v>52</v>
      </c>
      <c r="C453" s="3">
        <v>2011</v>
      </c>
      <c r="D453" s="3">
        <v>32456.120886487832</v>
      </c>
      <c r="E453" s="3">
        <v>1.0672739744186399</v>
      </c>
      <c r="F453" s="3">
        <v>4.9951400756835902</v>
      </c>
      <c r="G453" s="3">
        <v>62</v>
      </c>
      <c r="H453" s="4">
        <v>1327439</v>
      </c>
      <c r="I453" s="3">
        <v>2.3052199999999998</v>
      </c>
      <c r="J453" s="3">
        <v>166.74607243390031</v>
      </c>
      <c r="K453" s="3">
        <v>76.174326099227585</v>
      </c>
    </row>
    <row r="454" spans="1:11" x14ac:dyDescent="0.2">
      <c r="A454" s="2" t="s">
        <v>51</v>
      </c>
      <c r="B454" s="2" t="s">
        <v>52</v>
      </c>
      <c r="C454" s="3">
        <v>2012</v>
      </c>
      <c r="D454" s="3">
        <v>33768.572369803958</v>
      </c>
      <c r="E454" s="3">
        <v>0.94592207670211803</v>
      </c>
      <c r="F454" s="3">
        <v>4.6734099388122603</v>
      </c>
      <c r="G454" s="3">
        <v>20</v>
      </c>
      <c r="H454" s="4">
        <v>1322696</v>
      </c>
      <c r="I454" s="3">
        <v>2.1248100000000001</v>
      </c>
      <c r="J454" s="3">
        <v>169.15606777386449</v>
      </c>
      <c r="K454" s="3">
        <v>76.930045036499465</v>
      </c>
    </row>
    <row r="455" spans="1:11" x14ac:dyDescent="0.2">
      <c r="A455" s="2" t="s">
        <v>51</v>
      </c>
      <c r="B455" s="2" t="s">
        <v>52</v>
      </c>
      <c r="C455" s="3">
        <v>2013</v>
      </c>
      <c r="D455" s="3">
        <v>34484.22364572731</v>
      </c>
      <c r="E455" s="3">
        <v>0.96678817272186302</v>
      </c>
      <c r="F455" s="3">
        <v>4.7800698280334499</v>
      </c>
      <c r="G455" s="3">
        <v>25</v>
      </c>
      <c r="H455" s="4">
        <v>1317997</v>
      </c>
      <c r="I455" s="3">
        <v>1.7241200000000001</v>
      </c>
      <c r="J455" s="3">
        <v>164.60163215691551</v>
      </c>
      <c r="K455" s="3">
        <v>76.895647133095665</v>
      </c>
    </row>
    <row r="456" spans="1:11" x14ac:dyDescent="0.2">
      <c r="A456" s="2" t="s">
        <v>51</v>
      </c>
      <c r="B456" s="2" t="s">
        <v>52</v>
      </c>
      <c r="C456" s="3">
        <v>2014</v>
      </c>
      <c r="D456" s="3">
        <v>35723.626613422843</v>
      </c>
      <c r="E456" s="3">
        <v>1.0112123489379901</v>
      </c>
      <c r="F456" s="3">
        <v>4.3258600234985396</v>
      </c>
      <c r="G456" s="3">
        <v>44</v>
      </c>
      <c r="H456" s="4">
        <v>1314545</v>
      </c>
      <c r="I456" s="3">
        <v>1.4302299999999999</v>
      </c>
      <c r="J456" s="3">
        <v>157.95394484222891</v>
      </c>
      <c r="K456" s="3">
        <v>77.739074796282139</v>
      </c>
    </row>
    <row r="457" spans="1:11" x14ac:dyDescent="0.2">
      <c r="A457" s="2" t="s">
        <v>51</v>
      </c>
      <c r="B457" s="2" t="s">
        <v>52</v>
      </c>
      <c r="C457" s="3">
        <v>2015</v>
      </c>
      <c r="D457" s="3">
        <v>36356.441015261436</v>
      </c>
      <c r="E457" s="3">
        <v>1.03593826293945</v>
      </c>
      <c r="F457" s="3">
        <v>5.05127000808716</v>
      </c>
      <c r="G457" s="3">
        <v>30</v>
      </c>
      <c r="H457" s="4">
        <v>1315407</v>
      </c>
      <c r="I457" s="3">
        <v>1.46777</v>
      </c>
      <c r="J457" s="3">
        <v>148.50715712355759</v>
      </c>
      <c r="K457" s="3">
        <v>78.996825717256613</v>
      </c>
    </row>
    <row r="458" spans="1:11" x14ac:dyDescent="0.2">
      <c r="A458" s="2" t="s">
        <v>51</v>
      </c>
      <c r="B458" s="2" t="s">
        <v>52</v>
      </c>
      <c r="C458" s="3">
        <v>2016</v>
      </c>
      <c r="D458" s="3">
        <v>37470.042767680527</v>
      </c>
      <c r="E458" s="3">
        <v>1.05459797382355</v>
      </c>
      <c r="F458" s="3">
        <v>5.0551199913024902</v>
      </c>
      <c r="G458" s="3">
        <v>29</v>
      </c>
      <c r="H458" s="4">
        <v>1315790</v>
      </c>
      <c r="I458" s="3">
        <v>1.2430600000000001</v>
      </c>
      <c r="J458" s="3">
        <v>147.74623270970039</v>
      </c>
      <c r="K458" s="3">
        <v>78.688147614803498</v>
      </c>
    </row>
    <row r="459" spans="1:11" x14ac:dyDescent="0.2">
      <c r="A459" s="2" t="s">
        <v>51</v>
      </c>
      <c r="B459" s="2" t="s">
        <v>52</v>
      </c>
      <c r="C459" s="3">
        <v>2017</v>
      </c>
      <c r="D459" s="3">
        <v>39533.464558219886</v>
      </c>
      <c r="E459" s="3">
        <v>1.0722903013229399</v>
      </c>
      <c r="F459" s="3">
        <v>4.8628802299499503</v>
      </c>
      <c r="G459" s="3">
        <v>37</v>
      </c>
      <c r="H459" s="4">
        <v>1317384</v>
      </c>
      <c r="I459" s="3">
        <v>1.27685</v>
      </c>
      <c r="J459" s="3">
        <v>144.635650944133</v>
      </c>
      <c r="K459" s="3">
        <v>79.266846993039636</v>
      </c>
    </row>
    <row r="460" spans="1:11" x14ac:dyDescent="0.2">
      <c r="A460" s="2" t="s">
        <v>51</v>
      </c>
      <c r="B460" s="2" t="s">
        <v>52</v>
      </c>
      <c r="C460" s="3">
        <v>2018</v>
      </c>
      <c r="D460" s="3">
        <v>40853.648775507267</v>
      </c>
      <c r="E460" s="3">
        <v>1.15055811405182</v>
      </c>
      <c r="F460" s="3">
        <v>5.1396298408508301</v>
      </c>
      <c r="G460" s="3">
        <v>24</v>
      </c>
      <c r="H460" s="4">
        <v>1321977</v>
      </c>
      <c r="I460" s="3">
        <v>1.4099900000000001</v>
      </c>
      <c r="J460" s="3">
        <v>143.48522486473499</v>
      </c>
      <c r="K460" s="3">
        <v>79.413008859604446</v>
      </c>
    </row>
    <row r="461" spans="1:11" x14ac:dyDescent="0.2">
      <c r="A461" s="2" t="s">
        <v>51</v>
      </c>
      <c r="B461" s="2" t="s">
        <v>52</v>
      </c>
      <c r="C461" s="3">
        <v>2019</v>
      </c>
      <c r="D461" s="3">
        <v>42218.962853871002</v>
      </c>
      <c r="E461" s="3">
        <v>1.1397668123245199</v>
      </c>
      <c r="F461" s="3">
        <v>5.1641502380371103</v>
      </c>
      <c r="G461" s="3">
        <v>31</v>
      </c>
      <c r="H461" s="4">
        <v>1326898</v>
      </c>
      <c r="I461" s="3">
        <v>1.6205799999999999</v>
      </c>
      <c r="J461" s="3">
        <v>140.35214799854859</v>
      </c>
      <c r="K461" s="3">
        <v>80.340644000933708</v>
      </c>
    </row>
    <row r="462" spans="1:11" x14ac:dyDescent="0.2">
      <c r="A462" s="2" t="s">
        <v>51</v>
      </c>
      <c r="B462" s="2" t="s">
        <v>52</v>
      </c>
      <c r="C462" s="3">
        <v>2020</v>
      </c>
      <c r="D462" s="3">
        <v>40920.527062301539</v>
      </c>
      <c r="E462" s="3">
        <v>1.29900670051575</v>
      </c>
      <c r="F462" s="3">
        <v>5.4418001174926802</v>
      </c>
      <c r="G462" s="3">
        <v>21</v>
      </c>
      <c r="H462" s="4">
        <v>1329522</v>
      </c>
      <c r="I462" s="3">
        <v>1.75315</v>
      </c>
      <c r="J462" s="3">
        <v>137.3926412838461</v>
      </c>
      <c r="K462" s="3">
        <v>80.865175163398703</v>
      </c>
    </row>
    <row r="463" spans="1:11" x14ac:dyDescent="0.2">
      <c r="A463" s="2" t="s">
        <v>51</v>
      </c>
      <c r="B463" s="2" t="s">
        <v>52</v>
      </c>
      <c r="C463" s="3">
        <v>2021</v>
      </c>
      <c r="D463" s="3">
        <v>44251.537498345511</v>
      </c>
      <c r="E463" s="3">
        <v>1.3432934284210201</v>
      </c>
      <c r="F463" s="3">
        <v>5.21514987945557</v>
      </c>
      <c r="G463" s="3">
        <v>25</v>
      </c>
      <c r="H463" s="4">
        <v>1330932</v>
      </c>
      <c r="I463" s="3">
        <v>1.76766</v>
      </c>
      <c r="J463" s="3">
        <v>160.47192230592691</v>
      </c>
      <c r="K463" s="3">
        <v>80.337069126135304</v>
      </c>
    </row>
    <row r="464" spans="1:11" x14ac:dyDescent="0.2">
      <c r="A464" s="2" t="s">
        <v>53</v>
      </c>
      <c r="B464" s="2" t="s">
        <v>54</v>
      </c>
      <c r="C464" s="3">
        <v>2000</v>
      </c>
      <c r="D464" s="3">
        <v>46968.841714507013</v>
      </c>
      <c r="E464" s="3">
        <v>2.0297186374664302</v>
      </c>
      <c r="F464" s="3">
        <v>5.7116398811340297</v>
      </c>
      <c r="G464" s="3">
        <v>2579</v>
      </c>
      <c r="H464" s="4">
        <v>5176209</v>
      </c>
      <c r="I464" s="3">
        <v>3.2413799999999999</v>
      </c>
      <c r="J464" s="3">
        <v>74.925578871731702</v>
      </c>
      <c r="K464" s="3">
        <v>82.910988932962468</v>
      </c>
    </row>
    <row r="465" spans="1:11" x14ac:dyDescent="0.2">
      <c r="A465" s="2" t="s">
        <v>53</v>
      </c>
      <c r="B465" s="2" t="s">
        <v>54</v>
      </c>
      <c r="C465" s="3">
        <v>2001</v>
      </c>
      <c r="D465" s="3">
        <v>48099.301428279359</v>
      </c>
      <c r="E465" s="2"/>
      <c r="F465" s="3">
        <v>5.8408498764038104</v>
      </c>
      <c r="G465" s="3">
        <v>2390</v>
      </c>
      <c r="H465" s="4">
        <v>5188008</v>
      </c>
      <c r="I465" s="3">
        <v>3.1937199999999999</v>
      </c>
      <c r="J465" s="3">
        <v>70.284137663972118</v>
      </c>
      <c r="K465" s="3">
        <v>83.261181703427297</v>
      </c>
    </row>
    <row r="466" spans="1:11" x14ac:dyDescent="0.2">
      <c r="A466" s="2" t="s">
        <v>53</v>
      </c>
      <c r="B466" s="2" t="s">
        <v>54</v>
      </c>
      <c r="C466" s="3">
        <v>2002</v>
      </c>
      <c r="D466" s="3">
        <v>48792.48647897748</v>
      </c>
      <c r="E466" s="3">
        <v>2.09640264511108</v>
      </c>
      <c r="F466" s="3">
        <v>6.0186500549316397</v>
      </c>
      <c r="G466" s="3">
        <v>2162</v>
      </c>
      <c r="H466" s="4">
        <v>5200598</v>
      </c>
      <c r="I466" s="3">
        <v>3.2530800000000002</v>
      </c>
      <c r="J466" s="3">
        <v>69.320937752627316</v>
      </c>
      <c r="K466" s="3">
        <v>83.542238834041783</v>
      </c>
    </row>
    <row r="467" spans="1:11" x14ac:dyDescent="0.2">
      <c r="A467" s="2" t="s">
        <v>53</v>
      </c>
      <c r="B467" s="2" t="s">
        <v>54</v>
      </c>
      <c r="C467" s="3">
        <v>2003</v>
      </c>
      <c r="D467" s="3">
        <v>49655.545156406719</v>
      </c>
      <c r="E467" s="3">
        <v>2.1940031051635702</v>
      </c>
      <c r="F467" s="3">
        <v>6.1688699722290004</v>
      </c>
      <c r="G467" s="3">
        <v>1972</v>
      </c>
      <c r="H467" s="4">
        <v>5213014</v>
      </c>
      <c r="I467" s="3">
        <v>3.2982200000000002</v>
      </c>
      <c r="J467" s="3">
        <v>68.071502959515925</v>
      </c>
      <c r="K467" s="3">
        <v>83.111541204057374</v>
      </c>
    </row>
    <row r="468" spans="1:11" x14ac:dyDescent="0.2">
      <c r="A468" s="2" t="s">
        <v>53</v>
      </c>
      <c r="B468" s="2" t="s">
        <v>54</v>
      </c>
      <c r="C468" s="3">
        <v>2004</v>
      </c>
      <c r="D468" s="3">
        <v>51494.70586040098</v>
      </c>
      <c r="E468" s="3">
        <v>2.1476197242736799</v>
      </c>
      <c r="F468" s="3">
        <v>6.1582398414611799</v>
      </c>
      <c r="G468" s="3">
        <v>2011</v>
      </c>
      <c r="H468" s="4">
        <v>5228172</v>
      </c>
      <c r="I468" s="3">
        <v>3.3090700000000002</v>
      </c>
      <c r="J468" s="3">
        <v>70.967802899061994</v>
      </c>
      <c r="K468" s="3">
        <v>83.396635615854734</v>
      </c>
    </row>
    <row r="469" spans="1:11" x14ac:dyDescent="0.2">
      <c r="A469" s="2" t="s">
        <v>53</v>
      </c>
      <c r="B469" s="2" t="s">
        <v>54</v>
      </c>
      <c r="C469" s="3">
        <v>2005</v>
      </c>
      <c r="D469" s="3">
        <v>52744.048034134983</v>
      </c>
      <c r="E469" s="3">
        <v>2.1245317459106401</v>
      </c>
      <c r="F469" s="3">
        <v>6.0258297920227104</v>
      </c>
      <c r="G469" s="3">
        <v>1830</v>
      </c>
      <c r="H469" s="4">
        <v>5246096</v>
      </c>
      <c r="I469" s="3">
        <v>3.3237000000000001</v>
      </c>
      <c r="J469" s="3">
        <v>76.588974044429321</v>
      </c>
      <c r="K469" s="3">
        <v>83.927470649285368</v>
      </c>
    </row>
    <row r="470" spans="1:11" x14ac:dyDescent="0.2">
      <c r="A470" s="2" t="s">
        <v>53</v>
      </c>
      <c r="B470" s="2" t="s">
        <v>54</v>
      </c>
      <c r="C470" s="3">
        <v>2006</v>
      </c>
      <c r="D470" s="3">
        <v>54653.981203281022</v>
      </c>
      <c r="E470" s="3">
        <v>2.1676173210143999</v>
      </c>
      <c r="F470" s="3">
        <v>5.9296097755432102</v>
      </c>
      <c r="G470" s="3">
        <v>1816</v>
      </c>
      <c r="H470" s="4">
        <v>5266268</v>
      </c>
      <c r="I470" s="3">
        <v>3.33216</v>
      </c>
      <c r="J470" s="3">
        <v>82.000566929498262</v>
      </c>
      <c r="K470" s="3">
        <v>83.620796605355423</v>
      </c>
    </row>
    <row r="471" spans="1:11" x14ac:dyDescent="0.2">
      <c r="A471" s="2" t="s">
        <v>53</v>
      </c>
      <c r="B471" s="2" t="s">
        <v>54</v>
      </c>
      <c r="C471" s="3">
        <v>2007</v>
      </c>
      <c r="D471" s="3">
        <v>57313.291647447812</v>
      </c>
      <c r="E471" s="3">
        <v>1.9681208133697501</v>
      </c>
      <c r="F471" s="3">
        <v>5.6716499328613299</v>
      </c>
      <c r="G471" s="3">
        <v>1804</v>
      </c>
      <c r="H471" s="4">
        <v>5288720</v>
      </c>
      <c r="I471" s="3">
        <v>3.33704</v>
      </c>
      <c r="J471" s="3">
        <v>82.863160820917471</v>
      </c>
      <c r="K471" s="3">
        <v>83.677907851788746</v>
      </c>
    </row>
    <row r="472" spans="1:11" x14ac:dyDescent="0.2">
      <c r="A472" s="2" t="s">
        <v>53</v>
      </c>
      <c r="B472" s="2" t="s">
        <v>54</v>
      </c>
      <c r="C472" s="3">
        <v>2008</v>
      </c>
      <c r="D472" s="3">
        <v>57494.585352885973</v>
      </c>
      <c r="E472" s="3">
        <v>2.0412402153015101</v>
      </c>
      <c r="F472" s="3">
        <v>5.8304600715637198</v>
      </c>
      <c r="G472" s="3">
        <v>1799</v>
      </c>
      <c r="H472" s="4">
        <v>5313399</v>
      </c>
      <c r="I472" s="3">
        <v>3.5369700000000002</v>
      </c>
      <c r="J472" s="3">
        <v>86.189659876552739</v>
      </c>
      <c r="K472" s="3">
        <v>84.159433653601297</v>
      </c>
    </row>
    <row r="473" spans="1:11" x14ac:dyDescent="0.2">
      <c r="A473" s="2" t="s">
        <v>53</v>
      </c>
      <c r="B473" s="2" t="s">
        <v>54</v>
      </c>
      <c r="C473" s="3">
        <v>2009</v>
      </c>
      <c r="D473" s="3">
        <v>52599.148706691143</v>
      </c>
      <c r="E473" s="3">
        <v>2.2254600524902299</v>
      </c>
      <c r="F473" s="3">
        <v>6.4599800109863299</v>
      </c>
      <c r="G473" s="3">
        <v>1806</v>
      </c>
      <c r="H473" s="4">
        <v>5338871</v>
      </c>
      <c r="I473" s="3">
        <v>3.7340200000000001</v>
      </c>
      <c r="J473" s="3">
        <v>70.127933529589797</v>
      </c>
      <c r="K473" s="3">
        <v>85.440325713338964</v>
      </c>
    </row>
    <row r="474" spans="1:11" x14ac:dyDescent="0.2">
      <c r="A474" s="2" t="s">
        <v>53</v>
      </c>
      <c r="B474" s="2" t="s">
        <v>54</v>
      </c>
      <c r="C474" s="3">
        <v>2010</v>
      </c>
      <c r="D474" s="3">
        <v>54017.945862333923</v>
      </c>
      <c r="E474" s="3">
        <v>2.22388696670532</v>
      </c>
      <c r="F474" s="3">
        <v>6.5043101310729998</v>
      </c>
      <c r="G474" s="3">
        <v>1731</v>
      </c>
      <c r="H474" s="4">
        <v>5363352</v>
      </c>
      <c r="I474" s="3">
        <v>3.7053199999999999</v>
      </c>
      <c r="J474" s="3">
        <v>75.461208523122878</v>
      </c>
      <c r="K474" s="3">
        <v>84.99720992030845</v>
      </c>
    </row>
    <row r="475" spans="1:11" x14ac:dyDescent="0.2">
      <c r="A475" s="2" t="s">
        <v>53</v>
      </c>
      <c r="B475" s="2" t="s">
        <v>54</v>
      </c>
      <c r="C475" s="3">
        <v>2011</v>
      </c>
      <c r="D475" s="3">
        <v>55053.39068503226</v>
      </c>
      <c r="E475" s="3">
        <v>2.2351922988891602</v>
      </c>
      <c r="F475" s="3">
        <v>6.4562401771545401</v>
      </c>
      <c r="G475" s="3">
        <v>1650</v>
      </c>
      <c r="H475" s="4">
        <v>5388272</v>
      </c>
      <c r="I475" s="3">
        <v>3.6180599999999998</v>
      </c>
      <c r="J475" s="3">
        <v>78.715944448660551</v>
      </c>
      <c r="K475" s="3">
        <v>85.219422843333149</v>
      </c>
    </row>
    <row r="476" spans="1:11" x14ac:dyDescent="0.2">
      <c r="A476" s="2" t="s">
        <v>53</v>
      </c>
      <c r="B476" s="2" t="s">
        <v>54</v>
      </c>
      <c r="C476" s="3">
        <v>2012</v>
      </c>
      <c r="D476" s="3">
        <v>53957.668098627873</v>
      </c>
      <c r="E476" s="3">
        <v>2.2103111743927002</v>
      </c>
      <c r="F476" s="3">
        <v>7.1715497970581001</v>
      </c>
      <c r="G476" s="3">
        <v>1698</v>
      </c>
      <c r="H476" s="4">
        <v>5413971</v>
      </c>
      <c r="I476" s="3">
        <v>3.39832</v>
      </c>
      <c r="J476" s="3">
        <v>79.430376588248208</v>
      </c>
      <c r="K476" s="3">
        <v>85.942050767206638</v>
      </c>
    </row>
    <row r="477" spans="1:11" x14ac:dyDescent="0.2">
      <c r="A477" s="2" t="s">
        <v>53</v>
      </c>
      <c r="B477" s="2" t="s">
        <v>54</v>
      </c>
      <c r="C477" s="3">
        <v>2013</v>
      </c>
      <c r="D477" s="3">
        <v>53183.428668512614</v>
      </c>
      <c r="E477" s="3">
        <v>2.1806221008300799</v>
      </c>
      <c r="F477" s="3">
        <v>7.1528801918029803</v>
      </c>
      <c r="G477" s="3">
        <v>1596</v>
      </c>
      <c r="H477" s="4">
        <v>5438972</v>
      </c>
      <c r="I477" s="3">
        <v>3.2713700000000001</v>
      </c>
      <c r="J477" s="3">
        <v>77.485171771574031</v>
      </c>
      <c r="K477" s="3">
        <v>85.203558328599499</v>
      </c>
    </row>
    <row r="478" spans="1:11" x14ac:dyDescent="0.2">
      <c r="A478" s="2" t="s">
        <v>53</v>
      </c>
      <c r="B478" s="2" t="s">
        <v>54</v>
      </c>
      <c r="C478" s="3">
        <v>2014</v>
      </c>
      <c r="D478" s="3">
        <v>52710.733486777754</v>
      </c>
      <c r="E478" s="3">
        <v>2.02504563331604</v>
      </c>
      <c r="F478" s="3">
        <v>7.1383299827575701</v>
      </c>
      <c r="G478" s="3">
        <v>1419</v>
      </c>
      <c r="H478" s="4">
        <v>5461512</v>
      </c>
      <c r="I478" s="3">
        <v>3.14751</v>
      </c>
      <c r="J478" s="3">
        <v>74.627771975419591</v>
      </c>
      <c r="K478" s="3">
        <v>86.038260650787123</v>
      </c>
    </row>
    <row r="479" spans="1:11" x14ac:dyDescent="0.2">
      <c r="A479" s="2" t="s">
        <v>53</v>
      </c>
      <c r="B479" s="2" t="s">
        <v>54</v>
      </c>
      <c r="C479" s="3">
        <v>2015</v>
      </c>
      <c r="D479" s="3">
        <v>52782.487392627678</v>
      </c>
      <c r="E479" s="3">
        <v>1.84316194057465</v>
      </c>
      <c r="F479" s="3">
        <v>7.0719900131225604</v>
      </c>
      <c r="G479" s="3">
        <v>1289</v>
      </c>
      <c r="H479" s="4">
        <v>5479531</v>
      </c>
      <c r="I479" s="3">
        <v>2.8719600000000001</v>
      </c>
      <c r="J479" s="3">
        <v>71.961825378701377</v>
      </c>
      <c r="K479" s="3">
        <v>86.336000467016632</v>
      </c>
    </row>
    <row r="480" spans="1:11" x14ac:dyDescent="0.2">
      <c r="A480" s="2" t="s">
        <v>53</v>
      </c>
      <c r="B480" s="2" t="s">
        <v>54</v>
      </c>
      <c r="C480" s="3">
        <v>2016</v>
      </c>
      <c r="D480" s="3">
        <v>53984.631625471498</v>
      </c>
      <c r="E480" s="3">
        <v>1.84161901473999</v>
      </c>
      <c r="F480" s="3">
        <v>6.90873003005981</v>
      </c>
      <c r="G480" s="3">
        <v>1260</v>
      </c>
      <c r="H480" s="4">
        <v>5495303</v>
      </c>
      <c r="I480" s="3">
        <v>2.7244199999999998</v>
      </c>
      <c r="J480" s="3">
        <v>71.722210117885936</v>
      </c>
      <c r="K480" s="3">
        <v>86.179153500584391</v>
      </c>
    </row>
    <row r="481" spans="1:11" x14ac:dyDescent="0.2">
      <c r="A481" s="2" t="s">
        <v>53</v>
      </c>
      <c r="B481" s="2" t="s">
        <v>54</v>
      </c>
      <c r="C481" s="3">
        <v>2017</v>
      </c>
      <c r="D481" s="3">
        <v>55637.226278122303</v>
      </c>
      <c r="E481" s="3">
        <v>1.9772777557373</v>
      </c>
      <c r="F481" s="3">
        <v>6.4082698822021502</v>
      </c>
      <c r="G481" s="3">
        <v>1390</v>
      </c>
      <c r="H481" s="4">
        <v>5508214</v>
      </c>
      <c r="I481" s="3">
        <v>2.7278699999999998</v>
      </c>
      <c r="J481" s="3">
        <v>75.938782231004069</v>
      </c>
      <c r="K481" s="3">
        <v>86.125245147826021</v>
      </c>
    </row>
    <row r="482" spans="1:11" x14ac:dyDescent="0.2">
      <c r="A482" s="2" t="s">
        <v>53</v>
      </c>
      <c r="B482" s="2" t="s">
        <v>54</v>
      </c>
      <c r="C482" s="3">
        <v>2018</v>
      </c>
      <c r="D482" s="3">
        <v>56226.337241342953</v>
      </c>
      <c r="E482" s="3">
        <v>2.0138778686523402</v>
      </c>
      <c r="F482" s="3">
        <v>6.3177199363708496</v>
      </c>
      <c r="G482" s="3">
        <v>1387</v>
      </c>
      <c r="H482" s="4">
        <v>5515525</v>
      </c>
      <c r="I482" s="3">
        <v>2.7574900000000002</v>
      </c>
      <c r="J482" s="3">
        <v>79.143614842284563</v>
      </c>
      <c r="K482" s="3">
        <v>85.857333113618424</v>
      </c>
    </row>
    <row r="483" spans="1:11" x14ac:dyDescent="0.2">
      <c r="A483" s="2" t="s">
        <v>53</v>
      </c>
      <c r="B483" s="2" t="s">
        <v>54</v>
      </c>
      <c r="C483" s="3">
        <v>2019</v>
      </c>
      <c r="D483" s="3">
        <v>56922.487316310311</v>
      </c>
      <c r="E483" s="3">
        <v>1.97280502319336</v>
      </c>
      <c r="F483" s="3">
        <v>6.4530000686645499</v>
      </c>
      <c r="G483" s="3">
        <v>1321</v>
      </c>
      <c r="H483" s="4">
        <v>5521606</v>
      </c>
      <c r="I483" s="3">
        <v>2.7996099999999999</v>
      </c>
      <c r="J483" s="3">
        <v>80.564150294736663</v>
      </c>
      <c r="K483" s="3">
        <v>86.400625153767805</v>
      </c>
    </row>
    <row r="484" spans="1:11" x14ac:dyDescent="0.2">
      <c r="A484" s="2" t="s">
        <v>53</v>
      </c>
      <c r="B484" s="2" t="s">
        <v>54</v>
      </c>
      <c r="C484" s="3">
        <v>2020</v>
      </c>
      <c r="D484" s="3">
        <v>55424.857498920799</v>
      </c>
      <c r="E484" s="3">
        <v>1.9010039567947401</v>
      </c>
      <c r="F484" s="3">
        <v>6.6812801361084002</v>
      </c>
      <c r="G484" s="3">
        <v>1588</v>
      </c>
      <c r="H484" s="4">
        <v>5529543</v>
      </c>
      <c r="I484" s="3">
        <v>2.9124300000000001</v>
      </c>
      <c r="J484" s="3">
        <v>72.184595599588803</v>
      </c>
      <c r="K484" s="3">
        <v>86.86872695392843</v>
      </c>
    </row>
    <row r="485" spans="1:11" x14ac:dyDescent="0.2">
      <c r="A485" s="2" t="s">
        <v>53</v>
      </c>
      <c r="B485" s="2" t="s">
        <v>54</v>
      </c>
      <c r="C485" s="3">
        <v>2021</v>
      </c>
      <c r="D485" s="3">
        <v>56790.376617769172</v>
      </c>
      <c r="E485" s="3">
        <v>1.9183108806610101</v>
      </c>
      <c r="F485" s="3">
        <v>6.5882000923156703</v>
      </c>
      <c r="G485" s="3">
        <v>1557</v>
      </c>
      <c r="H485" s="4">
        <v>5541017</v>
      </c>
      <c r="I485" s="3">
        <v>2.9885000000000002</v>
      </c>
      <c r="J485" s="3">
        <v>79.789278191378173</v>
      </c>
      <c r="K485" s="3">
        <v>86.762526130405547</v>
      </c>
    </row>
    <row r="486" spans="1:11" x14ac:dyDescent="0.2">
      <c r="A486" s="2" t="s">
        <v>55</v>
      </c>
      <c r="B486" s="2" t="s">
        <v>56</v>
      </c>
      <c r="C486" s="3">
        <v>2000</v>
      </c>
      <c r="D486" s="3">
        <v>45922.478936370098</v>
      </c>
      <c r="E486" s="3">
        <v>1.63705730438232</v>
      </c>
      <c r="F486" s="2"/>
      <c r="G486" s="3">
        <v>13870</v>
      </c>
      <c r="H486" s="4">
        <v>60918661</v>
      </c>
      <c r="I486" s="3">
        <v>2.0934599999999999</v>
      </c>
      <c r="J486" s="3">
        <v>57.786047031819713</v>
      </c>
      <c r="K486" s="3">
        <v>76.850579203802752</v>
      </c>
    </row>
    <row r="487" spans="1:11" x14ac:dyDescent="0.2">
      <c r="A487" s="2" t="s">
        <v>55</v>
      </c>
      <c r="B487" s="2" t="s">
        <v>56</v>
      </c>
      <c r="C487" s="3">
        <v>2001</v>
      </c>
      <c r="D487" s="3">
        <v>46454.870692736447</v>
      </c>
      <c r="E487" s="2"/>
      <c r="F487" s="2"/>
      <c r="G487" s="3">
        <v>13499</v>
      </c>
      <c r="H487" s="4">
        <v>61364377</v>
      </c>
      <c r="I487" s="3">
        <v>2.1380400000000002</v>
      </c>
      <c r="J487" s="3">
        <v>56.893232856072231</v>
      </c>
      <c r="K487" s="3">
        <v>77.145356037263397</v>
      </c>
    </row>
    <row r="488" spans="1:11" x14ac:dyDescent="0.2">
      <c r="A488" s="2" t="s">
        <v>55</v>
      </c>
      <c r="B488" s="2" t="s">
        <v>56</v>
      </c>
      <c r="C488" s="3">
        <v>2002</v>
      </c>
      <c r="D488" s="3">
        <v>46610.782071721384</v>
      </c>
      <c r="E488" s="3">
        <v>1.5440816879272501</v>
      </c>
      <c r="F488" s="2"/>
      <c r="G488" s="3">
        <v>13519</v>
      </c>
      <c r="H488" s="4">
        <v>61812142</v>
      </c>
      <c r="I488" s="3">
        <v>2.17449</v>
      </c>
      <c r="J488" s="3">
        <v>55.132524850310169</v>
      </c>
      <c r="K488" s="3">
        <v>77.379975976148032</v>
      </c>
    </row>
    <row r="489" spans="1:11" x14ac:dyDescent="0.2">
      <c r="A489" s="2" t="s">
        <v>55</v>
      </c>
      <c r="B489" s="2" t="s">
        <v>56</v>
      </c>
      <c r="C489" s="3">
        <v>2003</v>
      </c>
      <c r="D489" s="3">
        <v>46730.975806378963</v>
      </c>
      <c r="E489" s="3">
        <v>1.6510945558548</v>
      </c>
      <c r="F489" s="2"/>
      <c r="G489" s="3">
        <v>13511</v>
      </c>
      <c r="H489" s="4">
        <v>62249855</v>
      </c>
      <c r="I489" s="3">
        <v>2.1199400000000002</v>
      </c>
      <c r="J489" s="3">
        <v>52.598882287065727</v>
      </c>
      <c r="K489" s="3">
        <v>77.365401033443689</v>
      </c>
    </row>
    <row r="490" spans="1:11" x14ac:dyDescent="0.2">
      <c r="A490" s="2" t="s">
        <v>55</v>
      </c>
      <c r="B490" s="2" t="s">
        <v>56</v>
      </c>
      <c r="C490" s="3">
        <v>2004</v>
      </c>
      <c r="D490" s="3">
        <v>47720.441335110292</v>
      </c>
      <c r="E490" s="3">
        <v>1.7556302547454801</v>
      </c>
      <c r="F490" s="2"/>
      <c r="G490" s="3">
        <v>14230</v>
      </c>
      <c r="H490" s="4">
        <v>62707588</v>
      </c>
      <c r="I490" s="3">
        <v>2.0946099999999999</v>
      </c>
      <c r="J490" s="3">
        <v>53.749764829202768</v>
      </c>
      <c r="K490" s="3">
        <v>77.577545915032701</v>
      </c>
    </row>
    <row r="491" spans="1:11" x14ac:dyDescent="0.2">
      <c r="A491" s="2" t="s">
        <v>55</v>
      </c>
      <c r="B491" s="2" t="s">
        <v>56</v>
      </c>
      <c r="C491" s="3">
        <v>2005</v>
      </c>
      <c r="D491" s="3">
        <v>48257.465093797116</v>
      </c>
      <c r="E491" s="3">
        <v>1.66645479202271</v>
      </c>
      <c r="F491" s="2"/>
      <c r="G491" s="3">
        <v>14327</v>
      </c>
      <c r="H491" s="4">
        <v>63180854</v>
      </c>
      <c r="I491" s="3">
        <v>2.0515099999999999</v>
      </c>
      <c r="J491" s="3">
        <v>55.822836124129893</v>
      </c>
      <c r="K491" s="3">
        <v>77.907044775485986</v>
      </c>
    </row>
    <row r="492" spans="1:11" x14ac:dyDescent="0.2">
      <c r="A492" s="2" t="s">
        <v>55</v>
      </c>
      <c r="B492" s="2" t="s">
        <v>56</v>
      </c>
      <c r="C492" s="3">
        <v>2006</v>
      </c>
      <c r="D492" s="3">
        <v>49223.247197007971</v>
      </c>
      <c r="E492" s="3">
        <v>1.6284762620925901</v>
      </c>
      <c r="F492" s="2"/>
      <c r="G492" s="3">
        <v>14529</v>
      </c>
      <c r="H492" s="4">
        <v>63622342</v>
      </c>
      <c r="I492" s="3">
        <v>2.0509400000000002</v>
      </c>
      <c r="J492" s="3">
        <v>57.869277529267272</v>
      </c>
      <c r="K492" s="3">
        <v>78.090726625498675</v>
      </c>
    </row>
    <row r="493" spans="1:11" x14ac:dyDescent="0.2">
      <c r="A493" s="2" t="s">
        <v>55</v>
      </c>
      <c r="B493" s="2" t="s">
        <v>56</v>
      </c>
      <c r="C493" s="3">
        <v>2007</v>
      </c>
      <c r="D493" s="3">
        <v>50157.783747763388</v>
      </c>
      <c r="E493" s="3">
        <v>1.4645749330520601</v>
      </c>
      <c r="F493" s="2"/>
      <c r="G493" s="3">
        <v>14722</v>
      </c>
      <c r="H493" s="4">
        <v>64016890</v>
      </c>
      <c r="I493" s="3">
        <v>2.0245099999999998</v>
      </c>
      <c r="J493" s="3">
        <v>58.152561130965893</v>
      </c>
      <c r="K493" s="3">
        <v>78.0823572595705</v>
      </c>
    </row>
    <row r="494" spans="1:11" x14ac:dyDescent="0.2">
      <c r="A494" s="2" t="s">
        <v>55</v>
      </c>
      <c r="B494" s="2" t="s">
        <v>56</v>
      </c>
      <c r="C494" s="3">
        <v>2008</v>
      </c>
      <c r="D494" s="3">
        <v>50068.296914137944</v>
      </c>
      <c r="E494" s="3">
        <v>1.5740343332290601</v>
      </c>
      <c r="F494" s="2"/>
      <c r="G494" s="3">
        <v>14658</v>
      </c>
      <c r="H494" s="4">
        <v>64375116</v>
      </c>
      <c r="I494" s="3">
        <v>2.0611700000000002</v>
      </c>
      <c r="J494" s="3">
        <v>59.179792841174802</v>
      </c>
      <c r="K494" s="3">
        <v>78.640134165181223</v>
      </c>
    </row>
    <row r="495" spans="1:11" x14ac:dyDescent="0.2">
      <c r="A495" s="2" t="s">
        <v>55</v>
      </c>
      <c r="B495" s="2" t="s">
        <v>56</v>
      </c>
      <c r="C495" s="3">
        <v>2009</v>
      </c>
      <c r="D495" s="3">
        <v>48404.965782636347</v>
      </c>
      <c r="E495" s="3">
        <v>1.4770544767379801</v>
      </c>
      <c r="F495" s="2"/>
      <c r="G495" s="3">
        <v>14100</v>
      </c>
      <c r="H495" s="4">
        <v>64706436</v>
      </c>
      <c r="I495" s="3">
        <v>2.2120700000000002</v>
      </c>
      <c r="J495" s="3">
        <v>52.19911230276135</v>
      </c>
      <c r="K495" s="3">
        <v>79.297793232747637</v>
      </c>
    </row>
    <row r="496" spans="1:11" x14ac:dyDescent="0.2">
      <c r="A496" s="2" t="s">
        <v>55</v>
      </c>
      <c r="B496" s="2" t="s">
        <v>56</v>
      </c>
      <c r="C496" s="3">
        <v>2010</v>
      </c>
      <c r="D496" s="3">
        <v>49130.422942344019</v>
      </c>
      <c r="E496" s="3">
        <v>1.4626610279083301</v>
      </c>
      <c r="F496" s="2"/>
      <c r="G496" s="3">
        <v>14748</v>
      </c>
      <c r="H496" s="4">
        <v>65026211</v>
      </c>
      <c r="I496" s="3">
        <v>2.1785700000000001</v>
      </c>
      <c r="J496" s="3">
        <v>56.58755524779604</v>
      </c>
      <c r="K496" s="3">
        <v>79.4828153000594</v>
      </c>
    </row>
    <row r="497" spans="1:11" x14ac:dyDescent="0.2">
      <c r="A497" s="2" t="s">
        <v>55</v>
      </c>
      <c r="B497" s="2" t="s">
        <v>56</v>
      </c>
      <c r="C497" s="3">
        <v>2011</v>
      </c>
      <c r="D497" s="3">
        <v>50085.682977910918</v>
      </c>
      <c r="E497" s="3">
        <v>1.39230680465698</v>
      </c>
      <c r="F497" s="2"/>
      <c r="G497" s="3">
        <v>14655</v>
      </c>
      <c r="H497" s="4">
        <v>65340830</v>
      </c>
      <c r="I497" s="3">
        <v>2.1916099999999998</v>
      </c>
      <c r="J497" s="3">
        <v>60.605635481640583</v>
      </c>
      <c r="K497" s="3">
        <v>79.326425543247609</v>
      </c>
    </row>
    <row r="498" spans="1:11" x14ac:dyDescent="0.2">
      <c r="A498" s="2" t="s">
        <v>55</v>
      </c>
      <c r="B498" s="2" t="s">
        <v>56</v>
      </c>
      <c r="C498" s="3">
        <v>2012</v>
      </c>
      <c r="D498" s="3">
        <v>49935.626908161743</v>
      </c>
      <c r="E498" s="3">
        <v>1.3733812570571899</v>
      </c>
      <c r="F498" s="2"/>
      <c r="G498" s="3">
        <v>14540</v>
      </c>
      <c r="H498" s="4">
        <v>65657659</v>
      </c>
      <c r="I498" s="3">
        <v>2.2270699999999999</v>
      </c>
      <c r="J498" s="3">
        <v>61.658957077110152</v>
      </c>
      <c r="K498" s="3">
        <v>80.125854993209387</v>
      </c>
    </row>
    <row r="499" spans="1:11" x14ac:dyDescent="0.2">
      <c r="A499" s="2" t="s">
        <v>55</v>
      </c>
      <c r="B499" s="2" t="s">
        <v>56</v>
      </c>
      <c r="C499" s="3">
        <v>2013</v>
      </c>
      <c r="D499" s="3">
        <v>50066.530432478292</v>
      </c>
      <c r="E499" s="3">
        <v>1.4820524454116799</v>
      </c>
      <c r="F499" s="2"/>
      <c r="G499" s="3">
        <v>14690</v>
      </c>
      <c r="H499" s="4">
        <v>65997932</v>
      </c>
      <c r="I499" s="3">
        <v>2.2370299999999999</v>
      </c>
      <c r="J499" s="3">
        <v>61.819233873396207</v>
      </c>
      <c r="K499" s="3">
        <v>80.354935633647401</v>
      </c>
    </row>
    <row r="500" spans="1:11" x14ac:dyDescent="0.2">
      <c r="A500" s="2" t="s">
        <v>55</v>
      </c>
      <c r="B500" s="2" t="s">
        <v>56</v>
      </c>
      <c r="C500" s="3">
        <v>2014</v>
      </c>
      <c r="D500" s="3">
        <v>50326.567863089047</v>
      </c>
      <c r="E500" s="3">
        <v>1.4128708839416499</v>
      </c>
      <c r="F500" s="2"/>
      <c r="G500" s="3">
        <v>14500</v>
      </c>
      <c r="H500" s="4">
        <v>66312067</v>
      </c>
      <c r="I500" s="3">
        <v>2.2759200000000002</v>
      </c>
      <c r="J500" s="3">
        <v>62.199266937950668</v>
      </c>
      <c r="K500" s="3">
        <v>81.016161955691388</v>
      </c>
    </row>
    <row r="501" spans="1:11" x14ac:dyDescent="0.2">
      <c r="A501" s="2" t="s">
        <v>55</v>
      </c>
      <c r="B501" s="2" t="s">
        <v>56</v>
      </c>
      <c r="C501" s="3">
        <v>2015</v>
      </c>
      <c r="D501" s="3">
        <v>50682.895358633301</v>
      </c>
      <c r="E501" s="3">
        <v>1.4173222780227701</v>
      </c>
      <c r="F501" s="2"/>
      <c r="G501" s="3">
        <v>14306</v>
      </c>
      <c r="H501" s="4">
        <v>66548272</v>
      </c>
      <c r="I501" s="3">
        <v>2.22702</v>
      </c>
      <c r="J501" s="3">
        <v>63.504687195648437</v>
      </c>
      <c r="K501" s="3">
        <v>81.349273977166632</v>
      </c>
    </row>
    <row r="502" spans="1:11" x14ac:dyDescent="0.2">
      <c r="A502" s="2" t="s">
        <v>55</v>
      </c>
      <c r="B502" s="2" t="s">
        <v>56</v>
      </c>
      <c r="C502" s="3">
        <v>2016</v>
      </c>
      <c r="D502" s="3">
        <v>50984.075297831972</v>
      </c>
      <c r="E502" s="3">
        <v>1.3806235790252701</v>
      </c>
      <c r="F502" s="2"/>
      <c r="G502" s="3">
        <v>14206</v>
      </c>
      <c r="H502" s="4">
        <v>66724104</v>
      </c>
      <c r="I502" s="3">
        <v>2.2223799999999998</v>
      </c>
      <c r="J502" s="3">
        <v>63.342756438335137</v>
      </c>
      <c r="K502" s="3">
        <v>81.566777803242502</v>
      </c>
    </row>
    <row r="503" spans="1:11" x14ac:dyDescent="0.2">
      <c r="A503" s="2" t="s">
        <v>55</v>
      </c>
      <c r="B503" s="2" t="s">
        <v>56</v>
      </c>
      <c r="C503" s="3">
        <v>2017</v>
      </c>
      <c r="D503" s="3">
        <v>51895.566298583777</v>
      </c>
      <c r="E503" s="3">
        <v>1.3089067935943599</v>
      </c>
      <c r="F503" s="3">
        <v>5.4648299217224103</v>
      </c>
      <c r="G503" s="3">
        <v>14415</v>
      </c>
      <c r="H503" s="4">
        <v>66918020</v>
      </c>
      <c r="I503" s="3">
        <v>2.1988799999999999</v>
      </c>
      <c r="J503" s="3">
        <v>65.395848155971123</v>
      </c>
      <c r="K503" s="3">
        <v>81.868317012562613</v>
      </c>
    </row>
    <row r="504" spans="1:11" x14ac:dyDescent="0.2">
      <c r="A504" s="2" t="s">
        <v>55</v>
      </c>
      <c r="B504" s="2" t="s">
        <v>56</v>
      </c>
      <c r="C504" s="3">
        <v>2018</v>
      </c>
      <c r="D504" s="3">
        <v>52560.953624384063</v>
      </c>
      <c r="E504" s="3">
        <v>1.4197185039520299</v>
      </c>
      <c r="F504" s="3">
        <v>5.4254097938537598</v>
      </c>
      <c r="G504" s="3">
        <v>14303</v>
      </c>
      <c r="H504" s="4">
        <v>67158348</v>
      </c>
      <c r="I504" s="3">
        <v>2.1966600000000001</v>
      </c>
      <c r="J504" s="3">
        <v>66.802260781226579</v>
      </c>
      <c r="K504" s="3">
        <v>82.439069994058215</v>
      </c>
    </row>
    <row r="505" spans="1:11" x14ac:dyDescent="0.2">
      <c r="A505" s="2" t="s">
        <v>55</v>
      </c>
      <c r="B505" s="2" t="s">
        <v>56</v>
      </c>
      <c r="C505" s="3">
        <v>2019</v>
      </c>
      <c r="D505" s="3">
        <v>53448.55488499433</v>
      </c>
      <c r="E505" s="3">
        <v>1.3382200002670299</v>
      </c>
      <c r="F505" s="3">
        <v>5.3663802146911603</v>
      </c>
      <c r="G505" s="3">
        <v>14103</v>
      </c>
      <c r="H505" s="4">
        <v>67382061</v>
      </c>
      <c r="I505" s="3">
        <v>2.1917900000000001</v>
      </c>
      <c r="J505" s="3">
        <v>66.428977174144904</v>
      </c>
      <c r="K505" s="3">
        <v>82.78711304430864</v>
      </c>
    </row>
    <row r="506" spans="1:11" x14ac:dyDescent="0.2">
      <c r="A506" s="2" t="s">
        <v>55</v>
      </c>
      <c r="B506" s="2" t="s">
        <v>56</v>
      </c>
      <c r="C506" s="3">
        <v>2020</v>
      </c>
      <c r="D506" s="3">
        <v>49311.333409639032</v>
      </c>
      <c r="E506" s="3">
        <v>1.2042510509491</v>
      </c>
      <c r="F506" s="3">
        <v>5.6587200164794904</v>
      </c>
      <c r="G506" s="3">
        <v>12771</v>
      </c>
      <c r="H506" s="4">
        <v>67601110</v>
      </c>
      <c r="I506" s="3">
        <v>2.2746400000000002</v>
      </c>
      <c r="J506" s="3">
        <v>58.838890724064719</v>
      </c>
      <c r="K506" s="3">
        <v>83.247221547406852</v>
      </c>
    </row>
    <row r="507" spans="1:11" x14ac:dyDescent="0.2">
      <c r="A507" s="2" t="s">
        <v>55</v>
      </c>
      <c r="B507" s="2" t="s">
        <v>56</v>
      </c>
      <c r="C507" s="3">
        <v>2021</v>
      </c>
      <c r="D507" s="3">
        <v>52517.335490585523</v>
      </c>
      <c r="E507" s="3">
        <v>1.2285403013229399</v>
      </c>
      <c r="F507" s="3">
        <v>5.4174299240112296</v>
      </c>
      <c r="G507" s="3">
        <v>13386</v>
      </c>
      <c r="H507" s="4">
        <v>67842811</v>
      </c>
      <c r="I507" s="3">
        <v>2.2180800000000001</v>
      </c>
      <c r="J507" s="3">
        <v>63.788482630871947</v>
      </c>
      <c r="K507" s="3">
        <v>82.994768531958243</v>
      </c>
    </row>
    <row r="508" spans="1:11" x14ac:dyDescent="0.2">
      <c r="A508" s="2" t="s">
        <v>57</v>
      </c>
      <c r="B508" s="2" t="s">
        <v>58</v>
      </c>
      <c r="C508" s="3">
        <v>2000</v>
      </c>
      <c r="D508" s="3">
        <v>5706.2723652783652</v>
      </c>
      <c r="E508" s="3">
        <v>-0.42815425992012002</v>
      </c>
      <c r="F508" s="3">
        <v>2.1810500621795601</v>
      </c>
      <c r="G508" s="3">
        <v>232</v>
      </c>
      <c r="H508" s="4">
        <v>4077131</v>
      </c>
      <c r="I508" s="3">
        <v>0.21529999999999999</v>
      </c>
      <c r="J508" s="3">
        <v>62.661395641309923</v>
      </c>
      <c r="K508" s="3">
        <v>65.815334576861048</v>
      </c>
    </row>
    <row r="509" spans="1:11" x14ac:dyDescent="0.2">
      <c r="A509" s="2" t="s">
        <v>57</v>
      </c>
      <c r="B509" s="2" t="s">
        <v>58</v>
      </c>
      <c r="C509" s="3">
        <v>2001</v>
      </c>
      <c r="D509" s="3">
        <v>6074.0864301728188</v>
      </c>
      <c r="E509" s="2"/>
      <c r="F509" s="3">
        <v>2.1375000476837198</v>
      </c>
      <c r="G509" s="3">
        <v>254</v>
      </c>
      <c r="H509" s="4">
        <v>4014373</v>
      </c>
      <c r="I509" s="3">
        <v>0.23848</v>
      </c>
      <c r="J509" s="3">
        <v>63.329925082409353</v>
      </c>
      <c r="K509" s="3">
        <v>66.508046386130204</v>
      </c>
    </row>
    <row r="510" spans="1:11" x14ac:dyDescent="0.2">
      <c r="A510" s="2" t="s">
        <v>57</v>
      </c>
      <c r="B510" s="2" t="s">
        <v>58</v>
      </c>
      <c r="C510" s="3">
        <v>2002</v>
      </c>
      <c r="D510" s="3">
        <v>6464.3253967264773</v>
      </c>
      <c r="E510" s="3">
        <v>-0.71264213323593095</v>
      </c>
      <c r="F510" s="3">
        <v>2.2350199222564702</v>
      </c>
      <c r="G510" s="3">
        <v>194</v>
      </c>
      <c r="H510" s="4">
        <v>3978515</v>
      </c>
      <c r="I510" s="3">
        <v>0.18573999999999999</v>
      </c>
      <c r="J510" s="3">
        <v>71.629125536480686</v>
      </c>
      <c r="K510" s="3">
        <v>67.751772619047614</v>
      </c>
    </row>
    <row r="511" spans="1:11" x14ac:dyDescent="0.2">
      <c r="A511" s="2" t="s">
        <v>57</v>
      </c>
      <c r="B511" s="2" t="s">
        <v>58</v>
      </c>
      <c r="C511" s="3">
        <v>2003</v>
      </c>
      <c r="D511" s="3">
        <v>7227.7370596070123</v>
      </c>
      <c r="E511" s="3">
        <v>-0.19849793612957001</v>
      </c>
      <c r="F511" s="3">
        <v>2.0655999183654798</v>
      </c>
      <c r="G511" s="3">
        <v>195</v>
      </c>
      <c r="H511" s="4">
        <v>3951736</v>
      </c>
      <c r="I511" s="3">
        <v>0.21759999999999999</v>
      </c>
      <c r="J511" s="3">
        <v>77.633376536939082</v>
      </c>
      <c r="K511" s="3">
        <v>68.271747012138192</v>
      </c>
    </row>
    <row r="512" spans="1:11" x14ac:dyDescent="0.2">
      <c r="A512" s="2" t="s">
        <v>57</v>
      </c>
      <c r="B512" s="2" t="s">
        <v>58</v>
      </c>
      <c r="C512" s="3">
        <v>2004</v>
      </c>
      <c r="D512" s="3">
        <v>7693.9152539206734</v>
      </c>
      <c r="E512" s="3">
        <v>-0.55611526966095004</v>
      </c>
      <c r="F512" s="3">
        <v>2.9142000675201398</v>
      </c>
      <c r="G512" s="3">
        <v>249</v>
      </c>
      <c r="H512" s="4">
        <v>3927340</v>
      </c>
      <c r="I512" s="3">
        <v>0.2442</v>
      </c>
      <c r="J512" s="3">
        <v>79.040745905560712</v>
      </c>
      <c r="K512" s="3">
        <v>68.651211497326216</v>
      </c>
    </row>
    <row r="513" spans="1:11" x14ac:dyDescent="0.2">
      <c r="A513" s="2" t="s">
        <v>57</v>
      </c>
      <c r="B513" s="2" t="s">
        <v>58</v>
      </c>
      <c r="C513" s="3">
        <v>2005</v>
      </c>
      <c r="D513" s="3">
        <v>8485.5867053495294</v>
      </c>
      <c r="E513" s="3">
        <v>-0.42787379026413003</v>
      </c>
      <c r="F513" s="3">
        <v>2.4843199253082302</v>
      </c>
      <c r="G513" s="3">
        <v>225</v>
      </c>
      <c r="H513" s="4">
        <v>3902469</v>
      </c>
      <c r="I513" s="3">
        <v>0.17657999999999999</v>
      </c>
      <c r="J513" s="3">
        <v>84.529597535474878</v>
      </c>
      <c r="K513" s="3">
        <v>68.01591909218233</v>
      </c>
    </row>
    <row r="514" spans="1:11" x14ac:dyDescent="0.2">
      <c r="A514" s="2" t="s">
        <v>57</v>
      </c>
      <c r="B514" s="2" t="s">
        <v>58</v>
      </c>
      <c r="C514" s="3">
        <v>2006</v>
      </c>
      <c r="D514" s="3">
        <v>9337.9890642010141</v>
      </c>
      <c r="E514" s="3">
        <v>-0.244788363575935</v>
      </c>
      <c r="F514" s="3">
        <v>3.0036499500274698</v>
      </c>
      <c r="G514" s="3">
        <v>236</v>
      </c>
      <c r="H514" s="4">
        <v>3880347</v>
      </c>
      <c r="I514" s="2"/>
      <c r="J514" s="3">
        <v>89.125374368197015</v>
      </c>
      <c r="K514" s="3">
        <v>68.258037191240135</v>
      </c>
    </row>
    <row r="515" spans="1:11" x14ac:dyDescent="0.2">
      <c r="A515" s="2" t="s">
        <v>57</v>
      </c>
      <c r="B515" s="2" t="s">
        <v>58</v>
      </c>
      <c r="C515" s="3">
        <v>2007</v>
      </c>
      <c r="D515" s="3">
        <v>10567.27471647578</v>
      </c>
      <c r="E515" s="3">
        <v>0.12159952521324199</v>
      </c>
      <c r="F515" s="3">
        <v>2.6968700885772701</v>
      </c>
      <c r="G515" s="3">
        <v>248</v>
      </c>
      <c r="H515" s="4">
        <v>3860158</v>
      </c>
      <c r="I515" s="2"/>
      <c r="J515" s="3">
        <v>88.393414068660334</v>
      </c>
      <c r="K515" s="3">
        <v>67.995052092352097</v>
      </c>
    </row>
    <row r="516" spans="1:11" x14ac:dyDescent="0.2">
      <c r="A516" s="2" t="s">
        <v>57</v>
      </c>
      <c r="B516" s="2" t="s">
        <v>58</v>
      </c>
      <c r="C516" s="3">
        <v>2008</v>
      </c>
      <c r="D516" s="3">
        <v>10856.10313280033</v>
      </c>
      <c r="E516" s="3">
        <v>0.30502903461456299</v>
      </c>
      <c r="F516" s="3">
        <v>2.9195499420165998</v>
      </c>
      <c r="G516" s="3">
        <v>222</v>
      </c>
      <c r="H516" s="4">
        <v>3848449</v>
      </c>
      <c r="I516" s="2"/>
      <c r="J516" s="3">
        <v>86.298224368148723</v>
      </c>
      <c r="K516" s="3">
        <v>67.8602851285969</v>
      </c>
    </row>
    <row r="517" spans="1:11" x14ac:dyDescent="0.2">
      <c r="A517" s="2" t="s">
        <v>57</v>
      </c>
      <c r="B517" s="2" t="s">
        <v>58</v>
      </c>
      <c r="C517" s="3">
        <v>2009</v>
      </c>
      <c r="D517" s="3">
        <v>10553.08963958534</v>
      </c>
      <c r="E517" s="3">
        <v>0.29778450727462802</v>
      </c>
      <c r="F517" s="3">
        <v>3.22237992286682</v>
      </c>
      <c r="G517" s="3">
        <v>256</v>
      </c>
      <c r="H517" s="4">
        <v>3814419</v>
      </c>
      <c r="I517" s="2"/>
      <c r="J517" s="3">
        <v>78.193039030356942</v>
      </c>
      <c r="K517" s="3">
        <v>67.960200097614802</v>
      </c>
    </row>
    <row r="518" spans="1:11" x14ac:dyDescent="0.2">
      <c r="A518" s="2" t="s">
        <v>57</v>
      </c>
      <c r="B518" s="2" t="s">
        <v>58</v>
      </c>
      <c r="C518" s="3">
        <v>2010</v>
      </c>
      <c r="D518" s="3">
        <v>11294.368591711211</v>
      </c>
      <c r="E518" s="3">
        <v>0.32738780975341802</v>
      </c>
      <c r="F518" s="3">
        <v>2.7617933336062199</v>
      </c>
      <c r="G518" s="3">
        <v>183</v>
      </c>
      <c r="H518" s="4">
        <v>3786695</v>
      </c>
      <c r="I518" s="2"/>
      <c r="J518" s="3">
        <v>81.673387060363893</v>
      </c>
      <c r="K518" s="3">
        <v>67.781232352941174</v>
      </c>
    </row>
    <row r="519" spans="1:11" x14ac:dyDescent="0.2">
      <c r="A519" s="2" t="s">
        <v>57</v>
      </c>
      <c r="B519" s="2" t="s">
        <v>58</v>
      </c>
      <c r="C519" s="3">
        <v>2011</v>
      </c>
      <c r="D519" s="3">
        <v>12288.68288611561</v>
      </c>
      <c r="E519" s="3">
        <v>0.57881271839141801</v>
      </c>
      <c r="F519" s="3">
        <v>2.5149199962615998</v>
      </c>
      <c r="G519" s="3">
        <v>138</v>
      </c>
      <c r="H519" s="4">
        <v>3756441</v>
      </c>
      <c r="I519" s="2"/>
      <c r="J519" s="3">
        <v>85.465935093298597</v>
      </c>
      <c r="K519" s="3">
        <v>67.890527489177501</v>
      </c>
    </row>
    <row r="520" spans="1:11" x14ac:dyDescent="0.2">
      <c r="A520" s="2" t="s">
        <v>57</v>
      </c>
      <c r="B520" s="2" t="s">
        <v>58</v>
      </c>
      <c r="C520" s="3">
        <v>2012</v>
      </c>
      <c r="D520" s="3">
        <v>13193.959697405349</v>
      </c>
      <c r="E520" s="3">
        <v>0.63056617975234996</v>
      </c>
      <c r="F520" s="3">
        <v>1.86033999919891</v>
      </c>
      <c r="G520" s="3">
        <v>139</v>
      </c>
      <c r="H520" s="4">
        <v>3728874</v>
      </c>
      <c r="I520" s="2"/>
      <c r="J520" s="3">
        <v>89.734880094633823</v>
      </c>
      <c r="K520" s="3">
        <v>68.70646586452763</v>
      </c>
    </row>
    <row r="521" spans="1:11" x14ac:dyDescent="0.2">
      <c r="A521" s="2" t="s">
        <v>57</v>
      </c>
      <c r="B521" s="2" t="s">
        <v>58</v>
      </c>
      <c r="C521" s="3">
        <v>2013</v>
      </c>
      <c r="D521" s="3">
        <v>13913.001824566119</v>
      </c>
      <c r="E521" s="3">
        <v>0.60694712400436401</v>
      </c>
      <c r="F521" s="3">
        <v>2.8330966857175</v>
      </c>
      <c r="G521" s="3">
        <v>114</v>
      </c>
      <c r="H521" s="4">
        <v>3717668</v>
      </c>
      <c r="I521" s="3">
        <v>7.7100000000000002E-2</v>
      </c>
      <c r="J521" s="3">
        <v>93.813913789553155</v>
      </c>
      <c r="K521" s="3">
        <v>69.069851822850339</v>
      </c>
    </row>
    <row r="522" spans="1:11" x14ac:dyDescent="0.2">
      <c r="A522" s="2" t="s">
        <v>57</v>
      </c>
      <c r="B522" s="2" t="s">
        <v>58</v>
      </c>
      <c r="C522" s="3">
        <v>2014</v>
      </c>
      <c r="D522" s="3">
        <v>14475.313535603471</v>
      </c>
      <c r="E522" s="3">
        <v>0.42418351769447299</v>
      </c>
      <c r="F522" s="3">
        <v>2.9411394773627202</v>
      </c>
      <c r="G522" s="3">
        <v>110</v>
      </c>
      <c r="H522" s="4">
        <v>3719414</v>
      </c>
      <c r="I522" s="3">
        <v>0.16991000000000001</v>
      </c>
      <c r="J522" s="3">
        <v>94.950697938339317</v>
      </c>
      <c r="K522" s="3">
        <v>70.375755260589088</v>
      </c>
    </row>
    <row r="523" spans="1:11" x14ac:dyDescent="0.2">
      <c r="A523" s="2" t="s">
        <v>57</v>
      </c>
      <c r="B523" s="2" t="s">
        <v>58</v>
      </c>
      <c r="C523" s="3">
        <v>2015</v>
      </c>
      <c r="D523" s="3">
        <v>14936.84341166466</v>
      </c>
      <c r="E523" s="3">
        <v>0.263111501932144</v>
      </c>
      <c r="F523" s="3">
        <v>3.10870368877345</v>
      </c>
      <c r="G523" s="3">
        <v>99</v>
      </c>
      <c r="H523" s="4">
        <v>3725276</v>
      </c>
      <c r="I523" s="3">
        <v>0.29397000000000001</v>
      </c>
      <c r="J523" s="3">
        <v>97.016311508625691</v>
      </c>
      <c r="K523" s="3">
        <v>71.239670968084198</v>
      </c>
    </row>
    <row r="524" spans="1:11" x14ac:dyDescent="0.2">
      <c r="A524" s="2" t="s">
        <v>57</v>
      </c>
      <c r="B524" s="2" t="s">
        <v>58</v>
      </c>
      <c r="C524" s="3">
        <v>2016</v>
      </c>
      <c r="D524" s="3">
        <v>15442.956435805379</v>
      </c>
      <c r="E524" s="3">
        <v>0.42089629173278797</v>
      </c>
      <c r="F524" s="3">
        <v>3.5233800411224401</v>
      </c>
      <c r="G524" s="3">
        <v>96</v>
      </c>
      <c r="H524" s="4">
        <v>3727505</v>
      </c>
      <c r="I524" s="3">
        <v>0.28025</v>
      </c>
      <c r="J524" s="3">
        <v>94.926252838344325</v>
      </c>
      <c r="K524" s="3">
        <v>71.79312721330956</v>
      </c>
    </row>
    <row r="525" spans="1:11" x14ac:dyDescent="0.2">
      <c r="A525" s="2" t="s">
        <v>57</v>
      </c>
      <c r="B525" s="2" t="s">
        <v>58</v>
      </c>
      <c r="C525" s="3">
        <v>2017</v>
      </c>
      <c r="D525" s="3">
        <v>16237.62422302752</v>
      </c>
      <c r="E525" s="3">
        <v>0.48150432109832803</v>
      </c>
      <c r="F525" s="3">
        <v>3.5244200229644802</v>
      </c>
      <c r="G525" s="3">
        <v>75</v>
      </c>
      <c r="H525" s="4">
        <v>3728004</v>
      </c>
      <c r="I525" s="3">
        <v>0.26645000000000002</v>
      </c>
      <c r="J525" s="3">
        <v>102.58427769714559</v>
      </c>
      <c r="K525" s="3">
        <v>71.51400888294711</v>
      </c>
    </row>
    <row r="526" spans="1:11" x14ac:dyDescent="0.2">
      <c r="A526" s="2" t="s">
        <v>57</v>
      </c>
      <c r="B526" s="2" t="s">
        <v>58</v>
      </c>
      <c r="C526" s="3">
        <v>2018</v>
      </c>
      <c r="D526" s="3">
        <v>17228.679084750329</v>
      </c>
      <c r="E526" s="3">
        <v>0.51813352108001698</v>
      </c>
      <c r="F526" s="3">
        <v>3.4609498977661102</v>
      </c>
      <c r="G526" s="3">
        <v>103</v>
      </c>
      <c r="H526" s="4">
        <v>3726549</v>
      </c>
      <c r="I526" s="3">
        <v>0.27572999999999998</v>
      </c>
      <c r="J526" s="3">
        <v>109.84774055626571</v>
      </c>
      <c r="K526" s="3">
        <v>72.264312119090064</v>
      </c>
    </row>
    <row r="527" spans="1:11" x14ac:dyDescent="0.2">
      <c r="A527" s="2" t="s">
        <v>57</v>
      </c>
      <c r="B527" s="2" t="s">
        <v>58</v>
      </c>
      <c r="C527" s="3">
        <v>2019</v>
      </c>
      <c r="D527" s="3">
        <v>18186.881646580699</v>
      </c>
      <c r="E527" s="3">
        <v>0.76619946956634499</v>
      </c>
      <c r="F527" s="3">
        <v>3.8298599720001198</v>
      </c>
      <c r="G527" s="3">
        <v>85</v>
      </c>
      <c r="H527" s="4">
        <v>3720161</v>
      </c>
      <c r="I527" s="3">
        <v>0.28197</v>
      </c>
      <c r="J527" s="3">
        <v>117.8100802397136</v>
      </c>
      <c r="K527" s="3">
        <v>72.601398211102634</v>
      </c>
    </row>
    <row r="528" spans="1:11" x14ac:dyDescent="0.2">
      <c r="A528" s="2" t="s">
        <v>57</v>
      </c>
      <c r="B528" s="2" t="s">
        <v>58</v>
      </c>
      <c r="C528" s="3">
        <v>2020</v>
      </c>
      <c r="D528" s="3">
        <v>17031.14402834258</v>
      </c>
      <c r="E528" s="3">
        <v>0.71673840284347501</v>
      </c>
      <c r="F528" s="3">
        <v>3.8095113070812499</v>
      </c>
      <c r="G528" s="3">
        <v>81</v>
      </c>
      <c r="H528" s="4">
        <v>3722716</v>
      </c>
      <c r="I528" s="3">
        <v>0.29765000000000003</v>
      </c>
      <c r="J528" s="3">
        <v>92.891084175219433</v>
      </c>
      <c r="K528" s="3">
        <v>72.844115157881347</v>
      </c>
    </row>
    <row r="529" spans="1:11" x14ac:dyDescent="0.2">
      <c r="A529" s="2" t="s">
        <v>57</v>
      </c>
      <c r="B529" s="2" t="s">
        <v>58</v>
      </c>
      <c r="C529" s="3">
        <v>2021</v>
      </c>
      <c r="D529" s="3">
        <v>18915.653400526269</v>
      </c>
      <c r="E529" s="3">
        <v>0.61652940511703502</v>
      </c>
      <c r="F529" s="3">
        <v>3.5944199562072701</v>
      </c>
      <c r="G529" s="3">
        <v>90</v>
      </c>
      <c r="H529" s="4">
        <v>3708610</v>
      </c>
      <c r="I529" s="3">
        <v>0.24875</v>
      </c>
      <c r="J529" s="3">
        <v>101.6009075489098</v>
      </c>
      <c r="K529" s="3">
        <v>73.368597387742994</v>
      </c>
    </row>
    <row r="530" spans="1:11" x14ac:dyDescent="0.2">
      <c r="A530" s="2" t="s">
        <v>59</v>
      </c>
      <c r="B530" s="2" t="s">
        <v>60</v>
      </c>
      <c r="C530" s="3">
        <v>2000</v>
      </c>
      <c r="D530" s="3">
        <v>49875.87641720588</v>
      </c>
      <c r="E530" s="3">
        <v>1.80453169345856</v>
      </c>
      <c r="F530" s="2"/>
      <c r="G530" s="3">
        <v>51736</v>
      </c>
      <c r="H530" s="4">
        <v>82211508</v>
      </c>
      <c r="I530" s="3">
        <v>2.4098199999999999</v>
      </c>
      <c r="J530" s="3">
        <v>59.195599297540447</v>
      </c>
      <c r="K530" s="3">
        <v>77.154063808250584</v>
      </c>
    </row>
    <row r="531" spans="1:11" x14ac:dyDescent="0.2">
      <c r="A531" s="2" t="s">
        <v>59</v>
      </c>
      <c r="B531" s="2" t="s">
        <v>60</v>
      </c>
      <c r="C531" s="3">
        <v>2001</v>
      </c>
      <c r="D531" s="3">
        <v>50606.711461645733</v>
      </c>
      <c r="E531" s="2"/>
      <c r="F531" s="2"/>
      <c r="G531" s="3">
        <v>49989</v>
      </c>
      <c r="H531" s="4">
        <v>82349925</v>
      </c>
      <c r="I531" s="3">
        <v>2.4043700000000001</v>
      </c>
      <c r="J531" s="3">
        <v>59.559286368211772</v>
      </c>
      <c r="K531" s="3">
        <v>78.0225921865716</v>
      </c>
    </row>
    <row r="532" spans="1:11" x14ac:dyDescent="0.2">
      <c r="A532" s="2" t="s">
        <v>59</v>
      </c>
      <c r="B532" s="2" t="s">
        <v>60</v>
      </c>
      <c r="C532" s="3">
        <v>2002</v>
      </c>
      <c r="D532" s="3">
        <v>50406.380068344253</v>
      </c>
      <c r="E532" s="3">
        <v>1.66001808643341</v>
      </c>
      <c r="F532" s="2"/>
      <c r="G532" s="3">
        <v>47598</v>
      </c>
      <c r="H532" s="4">
        <v>82488495</v>
      </c>
      <c r="I532" s="3">
        <v>2.4362200000000001</v>
      </c>
      <c r="J532" s="3">
        <v>58.332568724812887</v>
      </c>
      <c r="K532" s="3">
        <v>78.125564296324583</v>
      </c>
    </row>
    <row r="533" spans="1:11" x14ac:dyDescent="0.2">
      <c r="A533" s="2" t="s">
        <v>59</v>
      </c>
      <c r="B533" s="2" t="s">
        <v>60</v>
      </c>
      <c r="C533" s="3">
        <v>2003</v>
      </c>
      <c r="D533" s="3">
        <v>50111.57525913194</v>
      </c>
      <c r="E533" s="3">
        <v>1.35740518569946</v>
      </c>
      <c r="F533" s="2"/>
      <c r="G533" s="3">
        <v>47818</v>
      </c>
      <c r="H533" s="4">
        <v>82534176</v>
      </c>
      <c r="I533" s="3">
        <v>2.4746100000000002</v>
      </c>
      <c r="J533" s="3">
        <v>58.914544294250739</v>
      </c>
      <c r="K533" s="3">
        <v>78.087197960699427</v>
      </c>
    </row>
    <row r="534" spans="1:11" x14ac:dyDescent="0.2">
      <c r="A534" s="2" t="s">
        <v>59</v>
      </c>
      <c r="B534" s="2" t="s">
        <v>60</v>
      </c>
      <c r="C534" s="3">
        <v>2004</v>
      </c>
      <c r="D534" s="3">
        <v>50704.921988739807</v>
      </c>
      <c r="E534" s="3">
        <v>1.46714746952057</v>
      </c>
      <c r="F534" s="2"/>
      <c r="G534" s="3">
        <v>48448</v>
      </c>
      <c r="H534" s="4">
        <v>82516260</v>
      </c>
      <c r="I534" s="3">
        <v>2.43519</v>
      </c>
      <c r="J534" s="3">
        <v>62.906490946516413</v>
      </c>
      <c r="K534" s="3">
        <v>78.869442328749699</v>
      </c>
    </row>
    <row r="535" spans="1:11" x14ac:dyDescent="0.2">
      <c r="A535" s="2" t="s">
        <v>59</v>
      </c>
      <c r="B535" s="2" t="s">
        <v>60</v>
      </c>
      <c r="C535" s="3">
        <v>2005</v>
      </c>
      <c r="D535" s="3">
        <v>51182.959161571802</v>
      </c>
      <c r="E535" s="3">
        <v>1.5005247592926001</v>
      </c>
      <c r="F535" s="2"/>
      <c r="G535" s="3">
        <v>48367</v>
      </c>
      <c r="H535" s="4">
        <v>82469422</v>
      </c>
      <c r="I535" s="3">
        <v>2.4419300000000002</v>
      </c>
      <c r="J535" s="3">
        <v>66.953102493432112</v>
      </c>
      <c r="K535" s="3">
        <v>78.82194201892878</v>
      </c>
    </row>
    <row r="536" spans="1:11" x14ac:dyDescent="0.2">
      <c r="A536" s="2" t="s">
        <v>59</v>
      </c>
      <c r="B536" s="2" t="s">
        <v>60</v>
      </c>
      <c r="C536" s="3">
        <v>2006</v>
      </c>
      <c r="D536" s="3">
        <v>53222.040928222617</v>
      </c>
      <c r="E536" s="3">
        <v>1.6459760665893599</v>
      </c>
      <c r="F536" s="2"/>
      <c r="G536" s="3">
        <v>48012</v>
      </c>
      <c r="H536" s="4">
        <v>82376451</v>
      </c>
      <c r="I536" s="3">
        <v>2.4723199999999999</v>
      </c>
      <c r="J536" s="3">
        <v>72.759193464623394</v>
      </c>
      <c r="K536" s="3">
        <v>79.013187785417202</v>
      </c>
    </row>
    <row r="537" spans="1:11" x14ac:dyDescent="0.2">
      <c r="A537" s="2" t="s">
        <v>59</v>
      </c>
      <c r="B537" s="2" t="s">
        <v>60</v>
      </c>
      <c r="C537" s="3">
        <v>2007</v>
      </c>
      <c r="D537" s="3">
        <v>54832.961032844607</v>
      </c>
      <c r="E537" s="3">
        <v>1.6313123703002901</v>
      </c>
      <c r="F537" s="2"/>
      <c r="G537" s="3">
        <v>47853</v>
      </c>
      <c r="H537" s="4">
        <v>82266372</v>
      </c>
      <c r="I537" s="3">
        <v>2.46048</v>
      </c>
      <c r="J537" s="3">
        <v>74.883841681679797</v>
      </c>
      <c r="K537" s="3">
        <v>79.260472863084615</v>
      </c>
    </row>
    <row r="538" spans="1:11" x14ac:dyDescent="0.2">
      <c r="A538" s="2" t="s">
        <v>59</v>
      </c>
      <c r="B538" s="2" t="s">
        <v>60</v>
      </c>
      <c r="C538" s="3">
        <v>2008</v>
      </c>
      <c r="D538" s="3">
        <v>55425.110925124463</v>
      </c>
      <c r="E538" s="3">
        <v>1.51405537128448</v>
      </c>
      <c r="F538" s="3">
        <v>4.4733700752258301</v>
      </c>
      <c r="G538" s="3">
        <v>49240</v>
      </c>
      <c r="H538" s="4">
        <v>82110097</v>
      </c>
      <c r="I538" s="3">
        <v>2.6151300000000002</v>
      </c>
      <c r="J538" s="3">
        <v>76.113166594574551</v>
      </c>
      <c r="K538" s="3">
        <v>79.367900161276637</v>
      </c>
    </row>
    <row r="539" spans="1:11" x14ac:dyDescent="0.2">
      <c r="A539" s="2" t="s">
        <v>59</v>
      </c>
      <c r="B539" s="2" t="s">
        <v>60</v>
      </c>
      <c r="C539" s="3">
        <v>2009</v>
      </c>
      <c r="D539" s="3">
        <v>52484.855005538833</v>
      </c>
      <c r="E539" s="3">
        <v>1.5751092433929399</v>
      </c>
      <c r="F539" s="2"/>
      <c r="G539" s="3">
        <v>47859</v>
      </c>
      <c r="H539" s="4">
        <v>81902307</v>
      </c>
      <c r="I539" s="3">
        <v>2.7426599999999999</v>
      </c>
      <c r="J539" s="3">
        <v>66.139127575712621</v>
      </c>
      <c r="K539" s="3">
        <v>79.981352172990384</v>
      </c>
    </row>
    <row r="540" spans="1:11" x14ac:dyDescent="0.2">
      <c r="A540" s="2" t="s">
        <v>59</v>
      </c>
      <c r="B540" s="2" t="s">
        <v>60</v>
      </c>
      <c r="C540" s="3">
        <v>2010</v>
      </c>
      <c r="D540" s="3">
        <v>54738.708300671133</v>
      </c>
      <c r="E540" s="3">
        <v>1.5156937837600699</v>
      </c>
      <c r="F540" s="3">
        <v>4.9952502250671396</v>
      </c>
      <c r="G540" s="3">
        <v>47047</v>
      </c>
      <c r="H540" s="4">
        <v>81776930</v>
      </c>
      <c r="I540" s="3">
        <v>2.7302399999999998</v>
      </c>
      <c r="J540" s="3">
        <v>73.885235120026309</v>
      </c>
      <c r="K540" s="3">
        <v>80.060498573975053</v>
      </c>
    </row>
    <row r="541" spans="1:11" x14ac:dyDescent="0.2">
      <c r="A541" s="2" t="s">
        <v>59</v>
      </c>
      <c r="B541" s="2" t="s">
        <v>60</v>
      </c>
      <c r="C541" s="3">
        <v>2011</v>
      </c>
      <c r="D541" s="3">
        <v>57858.422260235493</v>
      </c>
      <c r="E541" s="3">
        <v>1.50013899803162</v>
      </c>
      <c r="F541" s="3">
        <v>4.8858399391174299</v>
      </c>
      <c r="G541" s="3">
        <v>46986</v>
      </c>
      <c r="H541" s="4">
        <v>80274983</v>
      </c>
      <c r="I541" s="3">
        <v>2.8055500000000002</v>
      </c>
      <c r="J541" s="3">
        <v>78.433002901441981</v>
      </c>
      <c r="K541" s="3">
        <v>80.33289649011121</v>
      </c>
    </row>
    <row r="542" spans="1:11" x14ac:dyDescent="0.2">
      <c r="A542" s="2" t="s">
        <v>59</v>
      </c>
      <c r="B542" s="2" t="s">
        <v>60</v>
      </c>
      <c r="C542" s="3">
        <v>2012</v>
      </c>
      <c r="D542" s="3">
        <v>58017.585578314727</v>
      </c>
      <c r="E542" s="3">
        <v>1.5309758186340301</v>
      </c>
      <c r="F542" s="3">
        <v>4.8315300941467303</v>
      </c>
      <c r="G542" s="3">
        <v>46620</v>
      </c>
      <c r="H542" s="4">
        <v>80425823</v>
      </c>
      <c r="I542" s="3">
        <v>2.8816600000000001</v>
      </c>
      <c r="J542" s="3">
        <v>79.331649567031519</v>
      </c>
      <c r="K542" s="3">
        <v>80.913701638231046</v>
      </c>
    </row>
    <row r="543" spans="1:11" x14ac:dyDescent="0.2">
      <c r="A543" s="2" t="s">
        <v>59</v>
      </c>
      <c r="B543" s="2" t="s">
        <v>60</v>
      </c>
      <c r="C543" s="3">
        <v>2013</v>
      </c>
      <c r="D543" s="3">
        <v>58089.170853829623</v>
      </c>
      <c r="E543" s="3">
        <v>1.51041460037231</v>
      </c>
      <c r="F543" s="3">
        <v>4.8391199111938503</v>
      </c>
      <c r="G543" s="3">
        <v>47353</v>
      </c>
      <c r="H543" s="4">
        <v>80645605</v>
      </c>
      <c r="I543" s="3">
        <v>2.8359899999999998</v>
      </c>
      <c r="J543" s="3">
        <v>77.586028857693051</v>
      </c>
      <c r="K543" s="3">
        <v>81.028115242763775</v>
      </c>
    </row>
    <row r="544" spans="1:11" x14ac:dyDescent="0.2">
      <c r="A544" s="2" t="s">
        <v>59</v>
      </c>
      <c r="B544" s="2" t="s">
        <v>60</v>
      </c>
      <c r="C544" s="3">
        <v>2014</v>
      </c>
      <c r="D544" s="3">
        <v>59108.697728931453</v>
      </c>
      <c r="E544" s="3">
        <v>1.6648246049880999</v>
      </c>
      <c r="F544" s="3">
        <v>4.8258299827575701</v>
      </c>
      <c r="G544" s="3">
        <v>48154</v>
      </c>
      <c r="H544" s="4">
        <v>80982500</v>
      </c>
      <c r="I544" s="3">
        <v>2.87784</v>
      </c>
      <c r="J544" s="3">
        <v>76.848351633623395</v>
      </c>
      <c r="K544" s="3">
        <v>81.89223041549954</v>
      </c>
    </row>
    <row r="545" spans="1:11" x14ac:dyDescent="0.2">
      <c r="A545" s="2" t="s">
        <v>59</v>
      </c>
      <c r="B545" s="2" t="s">
        <v>60</v>
      </c>
      <c r="C545" s="3">
        <v>2015</v>
      </c>
      <c r="D545" s="3">
        <v>59573.708953968577</v>
      </c>
      <c r="E545" s="3">
        <v>1.6563975811004601</v>
      </c>
      <c r="F545" s="3">
        <v>4.7615799903869602</v>
      </c>
      <c r="G545" s="3">
        <v>47384</v>
      </c>
      <c r="H545" s="4">
        <v>81686611</v>
      </c>
      <c r="I545" s="3">
        <v>2.9337900000000001</v>
      </c>
      <c r="J545" s="3">
        <v>77.756581568692241</v>
      </c>
      <c r="K545" s="3">
        <v>82.451540414650708</v>
      </c>
    </row>
    <row r="546" spans="1:11" x14ac:dyDescent="0.2">
      <c r="A546" s="2" t="s">
        <v>59</v>
      </c>
      <c r="B546" s="2" t="s">
        <v>60</v>
      </c>
      <c r="C546" s="3">
        <v>2016</v>
      </c>
      <c r="D546" s="3">
        <v>60407.971370375453</v>
      </c>
      <c r="E546" s="3">
        <v>1.6601879596710201</v>
      </c>
      <c r="F546" s="3">
        <v>4.7463102340698198</v>
      </c>
      <c r="G546" s="3">
        <v>48480</v>
      </c>
      <c r="H546" s="4">
        <v>82348669</v>
      </c>
      <c r="I546" s="3">
        <v>2.9403899999999998</v>
      </c>
      <c r="J546" s="3">
        <v>76.005990216605483</v>
      </c>
      <c r="K546" s="3">
        <v>82.650659920634908</v>
      </c>
    </row>
    <row r="547" spans="1:11" x14ac:dyDescent="0.2">
      <c r="A547" s="2" t="s">
        <v>59</v>
      </c>
      <c r="B547" s="2" t="s">
        <v>60</v>
      </c>
      <c r="C547" s="3">
        <v>2017</v>
      </c>
      <c r="D547" s="3">
        <v>61866.487220527553</v>
      </c>
      <c r="E547" s="3">
        <v>1.6131117343902599</v>
      </c>
      <c r="F547" s="3">
        <v>4.7783098220825204</v>
      </c>
      <c r="G547" s="3">
        <v>47785</v>
      </c>
      <c r="H547" s="4">
        <v>82657002</v>
      </c>
      <c r="I547" s="3">
        <v>3.0470999999999999</v>
      </c>
      <c r="J547" s="3">
        <v>77.454839474244778</v>
      </c>
      <c r="K547" s="3">
        <v>82.894864224174512</v>
      </c>
    </row>
    <row r="548" spans="1:11" x14ac:dyDescent="0.2">
      <c r="A548" s="2" t="s">
        <v>59</v>
      </c>
      <c r="B548" s="2" t="s">
        <v>60</v>
      </c>
      <c r="C548" s="3">
        <v>2018</v>
      </c>
      <c r="D548" s="3">
        <v>62381.347877224143</v>
      </c>
      <c r="E548" s="3">
        <v>1.5235637426376301</v>
      </c>
      <c r="F548" s="3">
        <v>4.8840098381042498</v>
      </c>
      <c r="G548" s="3">
        <v>46617</v>
      </c>
      <c r="H548" s="4">
        <v>82905782</v>
      </c>
      <c r="I548" s="3">
        <v>3.1101100000000002</v>
      </c>
      <c r="J548" s="3">
        <v>79.125226046365356</v>
      </c>
      <c r="K548" s="3">
        <v>82.663935941346253</v>
      </c>
    </row>
    <row r="549" spans="1:11" x14ac:dyDescent="0.2">
      <c r="A549" s="2" t="s">
        <v>59</v>
      </c>
      <c r="B549" s="2" t="s">
        <v>60</v>
      </c>
      <c r="C549" s="3">
        <v>2019</v>
      </c>
      <c r="D549" s="3">
        <v>62849.374186591187</v>
      </c>
      <c r="E549" s="3">
        <v>1.49534583091736</v>
      </c>
      <c r="F549" s="3">
        <v>5.0275797843933097</v>
      </c>
      <c r="G549" s="3">
        <v>46632</v>
      </c>
      <c r="H549" s="4">
        <v>83092962</v>
      </c>
      <c r="I549" s="3">
        <v>3.1670099999999999</v>
      </c>
      <c r="J549" s="3">
        <v>79.073242717568306</v>
      </c>
      <c r="K549" s="3">
        <v>82.983909551396323</v>
      </c>
    </row>
    <row r="550" spans="1:11" x14ac:dyDescent="0.2">
      <c r="A550" s="2" t="s">
        <v>59</v>
      </c>
      <c r="B550" s="2" t="s">
        <v>60</v>
      </c>
      <c r="C550" s="3">
        <v>2020</v>
      </c>
      <c r="D550" s="3">
        <v>60203.28976026304</v>
      </c>
      <c r="E550" s="3">
        <v>1.31368815898895</v>
      </c>
      <c r="F550" s="3">
        <v>5.5160098075866699</v>
      </c>
      <c r="G550" s="3">
        <v>42260</v>
      </c>
      <c r="H550" s="4">
        <v>83160871</v>
      </c>
      <c r="I550" s="3">
        <v>3.1313599999999999</v>
      </c>
      <c r="J550" s="3">
        <v>72.933532712013729</v>
      </c>
      <c r="K550" s="3">
        <v>83.391532785841605</v>
      </c>
    </row>
    <row r="551" spans="1:11" x14ac:dyDescent="0.2">
      <c r="A551" s="2" t="s">
        <v>59</v>
      </c>
      <c r="B551" s="2" t="s">
        <v>60</v>
      </c>
      <c r="C551" s="3">
        <v>2021</v>
      </c>
      <c r="D551" s="3">
        <v>62530.765319923943</v>
      </c>
      <c r="E551" s="3">
        <v>1.28911292552948</v>
      </c>
      <c r="F551" s="3">
        <v>5.3673400878906197</v>
      </c>
      <c r="G551" s="3">
        <v>39822</v>
      </c>
      <c r="H551" s="4">
        <v>83196078</v>
      </c>
      <c r="I551" s="3">
        <v>3.1288200000000002</v>
      </c>
      <c r="J551" s="3">
        <v>79.919534860985124</v>
      </c>
      <c r="K551" s="3">
        <v>83.247360294117655</v>
      </c>
    </row>
    <row r="552" spans="1:11" x14ac:dyDescent="0.2">
      <c r="A552" s="2" t="s">
        <v>61</v>
      </c>
      <c r="B552" s="2" t="s">
        <v>62</v>
      </c>
      <c r="C552" s="3">
        <v>2000</v>
      </c>
      <c r="D552" s="3">
        <v>31386.639783623999</v>
      </c>
      <c r="E552" s="3">
        <v>0.58703792095184304</v>
      </c>
      <c r="F552" s="3">
        <v>3.3508501052856401</v>
      </c>
      <c r="G552" s="3">
        <v>306</v>
      </c>
      <c r="H552" s="4">
        <v>10805808</v>
      </c>
      <c r="I552" s="2"/>
      <c r="J552" s="3">
        <v>59.112657748808587</v>
      </c>
      <c r="K552" s="3">
        <v>71.414392812579564</v>
      </c>
    </row>
    <row r="553" spans="1:11" x14ac:dyDescent="0.2">
      <c r="A553" s="2" t="s">
        <v>61</v>
      </c>
      <c r="B553" s="2" t="s">
        <v>62</v>
      </c>
      <c r="C553" s="3">
        <v>2001</v>
      </c>
      <c r="D553" s="3">
        <v>32675.92923277678</v>
      </c>
      <c r="E553" s="2"/>
      <c r="F553" s="3">
        <v>3.4730899333953902</v>
      </c>
      <c r="G553" s="3">
        <v>385</v>
      </c>
      <c r="H553" s="4">
        <v>10862132</v>
      </c>
      <c r="I553" s="3">
        <v>0.55947999999999998</v>
      </c>
      <c r="J553" s="3">
        <v>56.857633955106671</v>
      </c>
      <c r="K553" s="3">
        <v>72.404352593158478</v>
      </c>
    </row>
    <row r="554" spans="1:11" x14ac:dyDescent="0.2">
      <c r="A554" s="2" t="s">
        <v>61</v>
      </c>
      <c r="B554" s="2" t="s">
        <v>62</v>
      </c>
      <c r="C554" s="3">
        <v>2002</v>
      </c>
      <c r="D554" s="3">
        <v>34081.028975934307</v>
      </c>
      <c r="E554" s="3">
        <v>0.77604568004608199</v>
      </c>
      <c r="F554" s="3">
        <v>3.5225400924682599</v>
      </c>
      <c r="G554" s="3">
        <v>376</v>
      </c>
      <c r="H554" s="4">
        <v>10902022</v>
      </c>
      <c r="I554" s="2"/>
      <c r="J554" s="3">
        <v>50.053337190463331</v>
      </c>
      <c r="K554" s="3">
        <v>72.419402088107987</v>
      </c>
    </row>
    <row r="555" spans="1:11" x14ac:dyDescent="0.2">
      <c r="A555" s="2" t="s">
        <v>61</v>
      </c>
      <c r="B555" s="2" t="s">
        <v>62</v>
      </c>
      <c r="C555" s="3">
        <v>2003</v>
      </c>
      <c r="D555" s="3">
        <v>35970.701680847451</v>
      </c>
      <c r="E555" s="3">
        <v>0.703846335411072</v>
      </c>
      <c r="F555" s="3">
        <v>3.52407002449036</v>
      </c>
      <c r="G555" s="3">
        <v>393</v>
      </c>
      <c r="H555" s="4">
        <v>10928070</v>
      </c>
      <c r="I555" s="3">
        <v>0.54654000000000003</v>
      </c>
      <c r="J555" s="3">
        <v>47.894312155082197</v>
      </c>
      <c r="K555" s="3">
        <v>72.594868474662576</v>
      </c>
    </row>
    <row r="556" spans="1:11" x14ac:dyDescent="0.2">
      <c r="A556" s="2" t="s">
        <v>61</v>
      </c>
      <c r="B556" s="2" t="s">
        <v>62</v>
      </c>
      <c r="C556" s="3">
        <v>2004</v>
      </c>
      <c r="D556" s="3">
        <v>37811.491366448259</v>
      </c>
      <c r="E556" s="3">
        <v>0.78595590591430697</v>
      </c>
      <c r="F556" s="3">
        <v>3.76058006286621</v>
      </c>
      <c r="G556" s="3">
        <v>379</v>
      </c>
      <c r="H556" s="4">
        <v>10955141</v>
      </c>
      <c r="I556" s="3">
        <v>0.52729999999999999</v>
      </c>
      <c r="J556" s="3">
        <v>49.825317672568033</v>
      </c>
      <c r="K556" s="3">
        <v>72.680475575078503</v>
      </c>
    </row>
    <row r="557" spans="1:11" x14ac:dyDescent="0.2">
      <c r="A557" s="2" t="s">
        <v>61</v>
      </c>
      <c r="B557" s="2" t="s">
        <v>62</v>
      </c>
      <c r="C557" s="3">
        <v>2005</v>
      </c>
      <c r="D557" s="3">
        <v>38146.962971082961</v>
      </c>
      <c r="E557" s="3">
        <v>0.70974850654602095</v>
      </c>
      <c r="F557" s="3">
        <v>4.05491018295288</v>
      </c>
      <c r="G557" s="3">
        <v>462</v>
      </c>
      <c r="H557" s="4">
        <v>10987314</v>
      </c>
      <c r="I557" s="3">
        <v>0.57896000000000003</v>
      </c>
      <c r="J557" s="3">
        <v>50.355533439140743</v>
      </c>
      <c r="K557" s="3">
        <v>72.950718682624569</v>
      </c>
    </row>
    <row r="558" spans="1:11" x14ac:dyDescent="0.2">
      <c r="A558" s="2" t="s">
        <v>61</v>
      </c>
      <c r="B558" s="2" t="s">
        <v>62</v>
      </c>
      <c r="C558" s="3">
        <v>2006</v>
      </c>
      <c r="D558" s="3">
        <v>40483.156922533657</v>
      </c>
      <c r="E558" s="3">
        <v>0.62923157215118397</v>
      </c>
      <c r="F558" s="2"/>
      <c r="G558" s="3">
        <v>532</v>
      </c>
      <c r="H558" s="4">
        <v>11020362</v>
      </c>
      <c r="I558" s="3">
        <v>0.56118000000000001</v>
      </c>
      <c r="J558" s="3">
        <v>51.104746583480662</v>
      </c>
      <c r="K558" s="3">
        <v>73.26842681436213</v>
      </c>
    </row>
    <row r="559" spans="1:11" x14ac:dyDescent="0.2">
      <c r="A559" s="2" t="s">
        <v>61</v>
      </c>
      <c r="B559" s="2" t="s">
        <v>62</v>
      </c>
      <c r="C559" s="3">
        <v>2007</v>
      </c>
      <c r="D559" s="3">
        <v>41796.233691830283</v>
      </c>
      <c r="E559" s="3">
        <v>0.55182898044586204</v>
      </c>
      <c r="F559" s="2"/>
      <c r="G559" s="3">
        <v>575</v>
      </c>
      <c r="H559" s="4">
        <v>11048473</v>
      </c>
      <c r="I559" s="3">
        <v>0.57655000000000001</v>
      </c>
      <c r="J559" s="3">
        <v>54.525681818904417</v>
      </c>
      <c r="K559" s="3">
        <v>73.128166114930821</v>
      </c>
    </row>
    <row r="560" spans="1:11" x14ac:dyDescent="0.2">
      <c r="A560" s="2" t="s">
        <v>61</v>
      </c>
      <c r="B560" s="2" t="s">
        <v>62</v>
      </c>
      <c r="C560" s="3">
        <v>2008</v>
      </c>
      <c r="D560" s="3">
        <v>41709.387742031176</v>
      </c>
      <c r="E560" s="3">
        <v>0.57796937227249101</v>
      </c>
      <c r="F560" s="2"/>
      <c r="G560" s="3">
        <v>628</v>
      </c>
      <c r="H560" s="4">
        <v>11077841</v>
      </c>
      <c r="I560" s="3">
        <v>0.66183000000000003</v>
      </c>
      <c r="J560" s="3">
        <v>57.10528362649255</v>
      </c>
      <c r="K560" s="3">
        <v>73.500910567863514</v>
      </c>
    </row>
    <row r="561" spans="1:11" x14ac:dyDescent="0.2">
      <c r="A561" s="2" t="s">
        <v>61</v>
      </c>
      <c r="B561" s="2" t="s">
        <v>62</v>
      </c>
      <c r="C561" s="3">
        <v>2009</v>
      </c>
      <c r="D561" s="3">
        <v>39886.213549666427</v>
      </c>
      <c r="E561" s="3">
        <v>0.61519658565521196</v>
      </c>
      <c r="F561" s="2"/>
      <c r="G561" s="3">
        <v>698</v>
      </c>
      <c r="H561" s="4">
        <v>11107017</v>
      </c>
      <c r="I561" s="3">
        <v>0.62556999999999996</v>
      </c>
      <c r="J561" s="3">
        <v>46.377959398608262</v>
      </c>
      <c r="K561" s="3">
        <v>74.251467935659122</v>
      </c>
    </row>
    <row r="562" spans="1:11" x14ac:dyDescent="0.2">
      <c r="A562" s="2" t="s">
        <v>61</v>
      </c>
      <c r="B562" s="2" t="s">
        <v>62</v>
      </c>
      <c r="C562" s="3">
        <v>2010</v>
      </c>
      <c r="D562" s="3">
        <v>37566.7483686263</v>
      </c>
      <c r="E562" s="3">
        <v>0.49291279911994901</v>
      </c>
      <c r="F562" s="2"/>
      <c r="G562" s="3">
        <v>728</v>
      </c>
      <c r="H562" s="4">
        <v>11121341</v>
      </c>
      <c r="I562" s="3">
        <v>0.60346999999999995</v>
      </c>
      <c r="J562" s="3">
        <v>50.922518199722752</v>
      </c>
      <c r="K562" s="3">
        <v>75.252024626517269</v>
      </c>
    </row>
    <row r="563" spans="1:11" x14ac:dyDescent="0.2">
      <c r="A563" s="2" t="s">
        <v>61</v>
      </c>
      <c r="B563" s="2" t="s">
        <v>62</v>
      </c>
      <c r="C563" s="3">
        <v>2011</v>
      </c>
      <c r="D563" s="3">
        <v>33906.491743567582</v>
      </c>
      <c r="E563" s="3">
        <v>0.45195370912551902</v>
      </c>
      <c r="F563" s="2"/>
      <c r="G563" s="3">
        <v>722</v>
      </c>
      <c r="H563" s="4">
        <v>11104899</v>
      </c>
      <c r="I563" s="3">
        <v>0.68425999999999998</v>
      </c>
      <c r="J563" s="3">
        <v>56.292995794190702</v>
      </c>
      <c r="K563" s="3">
        <v>75.52578744800951</v>
      </c>
    </row>
    <row r="564" spans="1:11" x14ac:dyDescent="0.2">
      <c r="A564" s="2" t="s">
        <v>61</v>
      </c>
      <c r="B564" s="2" t="s">
        <v>62</v>
      </c>
      <c r="C564" s="3">
        <v>2012</v>
      </c>
      <c r="D564" s="3">
        <v>31250.22685659556</v>
      </c>
      <c r="E564" s="3">
        <v>0.276448935270309</v>
      </c>
      <c r="F564" s="2"/>
      <c r="G564" s="3">
        <v>628</v>
      </c>
      <c r="H564" s="4">
        <v>11045011</v>
      </c>
      <c r="I564" s="3">
        <v>0.71004999999999996</v>
      </c>
      <c r="J564" s="3">
        <v>62.394211735131847</v>
      </c>
      <c r="K564" s="3">
        <v>75.684494325609037</v>
      </c>
    </row>
    <row r="565" spans="1:11" x14ac:dyDescent="0.2">
      <c r="A565" s="2" t="s">
        <v>61</v>
      </c>
      <c r="B565" s="2" t="s">
        <v>62</v>
      </c>
      <c r="C565" s="3">
        <v>2013</v>
      </c>
      <c r="D565" s="3">
        <v>30762.44322278129</v>
      </c>
      <c r="E565" s="3">
        <v>0.35717341303825401</v>
      </c>
      <c r="F565" s="2"/>
      <c r="G565" s="3">
        <v>698</v>
      </c>
      <c r="H565" s="4">
        <v>10965211</v>
      </c>
      <c r="I565" s="3">
        <v>0.81477999999999995</v>
      </c>
      <c r="J565" s="3">
        <v>62.954727221537347</v>
      </c>
      <c r="K565" s="3">
        <v>76.026408135981669</v>
      </c>
    </row>
    <row r="566" spans="1:11" x14ac:dyDescent="0.2">
      <c r="A566" s="2" t="s">
        <v>61</v>
      </c>
      <c r="B566" s="2" t="s">
        <v>62</v>
      </c>
      <c r="C566" s="3">
        <v>2014</v>
      </c>
      <c r="D566" s="3">
        <v>31213.37651202979</v>
      </c>
      <c r="E566" s="3">
        <v>0.29802733659744302</v>
      </c>
      <c r="F566" s="2"/>
      <c r="G566" s="3">
        <v>651</v>
      </c>
      <c r="H566" s="4">
        <v>10892413</v>
      </c>
      <c r="I566" s="3">
        <v>0.83997999999999995</v>
      </c>
      <c r="J566" s="3">
        <v>66.433536451367743</v>
      </c>
      <c r="K566" s="3">
        <v>76.559014349376113</v>
      </c>
    </row>
    <row r="567" spans="1:11" x14ac:dyDescent="0.2">
      <c r="A567" s="2" t="s">
        <v>61</v>
      </c>
      <c r="B567" s="2" t="s">
        <v>62</v>
      </c>
      <c r="C567" s="3">
        <v>2015</v>
      </c>
      <c r="D567" s="3">
        <v>31347.976574604039</v>
      </c>
      <c r="E567" s="3">
        <v>0.145935848355293</v>
      </c>
      <c r="F567" s="3">
        <v>3.6823999881744398</v>
      </c>
      <c r="G567" s="3">
        <v>550</v>
      </c>
      <c r="H567" s="4">
        <v>10820883</v>
      </c>
      <c r="I567" s="3">
        <v>0.96604999999999996</v>
      </c>
      <c r="J567" s="3">
        <v>65.271645461931797</v>
      </c>
      <c r="K567" s="3">
        <v>76.779282535438412</v>
      </c>
    </row>
    <row r="568" spans="1:11" x14ac:dyDescent="0.2">
      <c r="A568" s="2" t="s">
        <v>61</v>
      </c>
      <c r="B568" s="2" t="s">
        <v>62</v>
      </c>
      <c r="C568" s="3">
        <v>2016</v>
      </c>
      <c r="D568" s="3">
        <v>31468.619847109851</v>
      </c>
      <c r="E568" s="3">
        <v>0.124417319893837</v>
      </c>
      <c r="F568" s="2"/>
      <c r="G568" s="3">
        <v>606</v>
      </c>
      <c r="H568" s="4">
        <v>10775971</v>
      </c>
      <c r="I568" s="3">
        <v>1.00529</v>
      </c>
      <c r="J568" s="3">
        <v>63.657549088286594</v>
      </c>
      <c r="K568" s="3">
        <v>77.296134001782534</v>
      </c>
    </row>
    <row r="569" spans="1:11" x14ac:dyDescent="0.2">
      <c r="A569" s="2" t="s">
        <v>61</v>
      </c>
      <c r="B569" s="2" t="s">
        <v>62</v>
      </c>
      <c r="C569" s="3">
        <v>2017</v>
      </c>
      <c r="D569" s="3">
        <v>31995.410883838638</v>
      </c>
      <c r="E569" s="3">
        <v>0.23915545642375899</v>
      </c>
      <c r="F569" s="3">
        <v>3.46778011322021</v>
      </c>
      <c r="G569" s="3">
        <v>498</v>
      </c>
      <c r="H569" s="4">
        <v>10754679</v>
      </c>
      <c r="I569" s="3">
        <v>1.15228</v>
      </c>
      <c r="J569" s="3">
        <v>70.882496739725269</v>
      </c>
      <c r="K569" s="3">
        <v>77.291327748068923</v>
      </c>
    </row>
    <row r="570" spans="1:11" x14ac:dyDescent="0.2">
      <c r="A570" s="2" t="s">
        <v>61</v>
      </c>
      <c r="B570" s="2" t="s">
        <v>62</v>
      </c>
      <c r="C570" s="3">
        <v>2018</v>
      </c>
      <c r="D570" s="3">
        <v>32722.33104440293</v>
      </c>
      <c r="E570" s="3">
        <v>0.25846466422080999</v>
      </c>
      <c r="F570" s="3">
        <v>3.5762701034545898</v>
      </c>
      <c r="G570" s="3">
        <v>430</v>
      </c>
      <c r="H570" s="4">
        <v>10732882</v>
      </c>
      <c r="I570" s="3">
        <v>1.2137100000000001</v>
      </c>
      <c r="J570" s="3">
        <v>79.237990863870621</v>
      </c>
      <c r="K570" s="3">
        <v>77.666969741532981</v>
      </c>
    </row>
    <row r="571" spans="1:11" x14ac:dyDescent="0.2">
      <c r="A571" s="2" t="s">
        <v>61</v>
      </c>
      <c r="B571" s="2" t="s">
        <v>62</v>
      </c>
      <c r="C571" s="3">
        <v>2019</v>
      </c>
      <c r="D571" s="3">
        <v>33502.750648899673</v>
      </c>
      <c r="E571" s="3">
        <v>0.31429579854011502</v>
      </c>
      <c r="F571" s="3">
        <v>3.55062007904053</v>
      </c>
      <c r="G571" s="3">
        <v>356</v>
      </c>
      <c r="H571" s="4">
        <v>10721582</v>
      </c>
      <c r="I571" s="3">
        <v>1.2749900000000001</v>
      </c>
      <c r="J571" s="3">
        <v>80.590094951045657</v>
      </c>
      <c r="K571" s="3">
        <v>78.154632785841599</v>
      </c>
    </row>
    <row r="572" spans="1:11" x14ac:dyDescent="0.2">
      <c r="A572" s="2" t="s">
        <v>61</v>
      </c>
      <c r="B572" s="2" t="s">
        <v>62</v>
      </c>
      <c r="C572" s="3">
        <v>2020</v>
      </c>
      <c r="D572" s="3">
        <v>30487.11293310449</v>
      </c>
      <c r="E572" s="3">
        <v>0.40293699502944902</v>
      </c>
      <c r="F572" s="2"/>
      <c r="G572" s="3">
        <v>400</v>
      </c>
      <c r="H572" s="4">
        <v>10698599</v>
      </c>
      <c r="I572" s="3">
        <v>1.51149</v>
      </c>
      <c r="J572" s="3">
        <v>70.293746458074452</v>
      </c>
      <c r="K572" s="3">
        <v>78.678382431457422</v>
      </c>
    </row>
    <row r="573" spans="1:11" x14ac:dyDescent="0.2">
      <c r="A573" s="2" t="s">
        <v>61</v>
      </c>
      <c r="B573" s="2" t="s">
        <v>62</v>
      </c>
      <c r="C573" s="3">
        <v>2021</v>
      </c>
      <c r="D573" s="3">
        <v>33531.155112259963</v>
      </c>
      <c r="E573" s="3">
        <v>0.40602654218673701</v>
      </c>
      <c r="F573" s="2"/>
      <c r="G573" s="3">
        <v>394</v>
      </c>
      <c r="H573" s="4">
        <v>10569207</v>
      </c>
      <c r="I573" s="3">
        <v>1.4578199999999999</v>
      </c>
      <c r="J573" s="3">
        <v>88.012665449037854</v>
      </c>
      <c r="K573" s="3">
        <v>78.880834101519383</v>
      </c>
    </row>
    <row r="574" spans="1:11" x14ac:dyDescent="0.2">
      <c r="A574" s="2" t="s">
        <v>63</v>
      </c>
      <c r="B574" s="2" t="s">
        <v>64</v>
      </c>
      <c r="C574" s="3">
        <v>2000</v>
      </c>
      <c r="D574" s="3">
        <v>8770.4040870875033</v>
      </c>
      <c r="E574" s="3">
        <v>-0.56138736009597801</v>
      </c>
      <c r="F574" s="2"/>
      <c r="G574" s="3">
        <v>54</v>
      </c>
      <c r="H574" s="4">
        <v>11697592</v>
      </c>
      <c r="I574" s="2"/>
      <c r="J574" s="3">
        <v>49.145587904953672</v>
      </c>
      <c r="K574" s="3">
        <v>53.722620751633983</v>
      </c>
    </row>
    <row r="575" spans="1:11" x14ac:dyDescent="0.2">
      <c r="A575" s="2" t="s">
        <v>63</v>
      </c>
      <c r="B575" s="2" t="s">
        <v>64</v>
      </c>
      <c r="C575" s="3">
        <v>2001</v>
      </c>
      <c r="D575" s="3">
        <v>8771.1552062040701</v>
      </c>
      <c r="E575" s="2"/>
      <c r="F575" s="2"/>
      <c r="G575" s="3">
        <v>30</v>
      </c>
      <c r="H575" s="4">
        <v>11969422</v>
      </c>
      <c r="I575" s="2"/>
      <c r="J575" s="3">
        <v>70.669033176947579</v>
      </c>
      <c r="K575" s="3">
        <v>53.869670168067231</v>
      </c>
    </row>
    <row r="576" spans="1:11" x14ac:dyDescent="0.2">
      <c r="A576" s="2" t="s">
        <v>63</v>
      </c>
      <c r="B576" s="2" t="s">
        <v>64</v>
      </c>
      <c r="C576" s="3">
        <v>2002</v>
      </c>
      <c r="D576" s="3">
        <v>8901.5363381980369</v>
      </c>
      <c r="E576" s="3">
        <v>-0.56306463479995705</v>
      </c>
      <c r="F576" s="2"/>
      <c r="G576" s="3">
        <v>8</v>
      </c>
      <c r="H576" s="4">
        <v>12246915</v>
      </c>
      <c r="I576" s="2"/>
      <c r="J576" s="3">
        <v>67.104811524464452</v>
      </c>
      <c r="K576" s="3">
        <v>54.471215289449113</v>
      </c>
    </row>
    <row r="577" spans="1:11" x14ac:dyDescent="0.2">
      <c r="A577" s="2" t="s">
        <v>63</v>
      </c>
      <c r="B577" s="2" t="s">
        <v>64</v>
      </c>
      <c r="C577" s="3">
        <v>2003</v>
      </c>
      <c r="D577" s="3">
        <v>8926.1535800284473</v>
      </c>
      <c r="E577" s="3">
        <v>-0.57090854644775402</v>
      </c>
      <c r="F577" s="2"/>
      <c r="G577" s="3">
        <v>6</v>
      </c>
      <c r="H577" s="4">
        <v>12525842</v>
      </c>
      <c r="I577" s="2"/>
      <c r="J577" s="3">
        <v>67.002339186242452</v>
      </c>
      <c r="K577" s="3">
        <v>53.897589449112971</v>
      </c>
    </row>
    <row r="578" spans="1:11" x14ac:dyDescent="0.2">
      <c r="A578" s="2" t="s">
        <v>63</v>
      </c>
      <c r="B578" s="2" t="s">
        <v>64</v>
      </c>
      <c r="C578" s="3">
        <v>2004</v>
      </c>
      <c r="D578" s="3">
        <v>9003.8571900321658</v>
      </c>
      <c r="E578" s="3">
        <v>-0.805464208126068</v>
      </c>
      <c r="F578" s="2"/>
      <c r="G578" s="3">
        <v>9</v>
      </c>
      <c r="H578" s="4">
        <v>12807402</v>
      </c>
      <c r="I578" s="2"/>
      <c r="J578" s="3">
        <v>70.214872358187179</v>
      </c>
      <c r="K578" s="3">
        <v>54.715815989729229</v>
      </c>
    </row>
    <row r="579" spans="1:11" x14ac:dyDescent="0.2">
      <c r="A579" s="2" t="s">
        <v>63</v>
      </c>
      <c r="B579" s="2" t="s">
        <v>64</v>
      </c>
      <c r="C579" s="3">
        <v>2005</v>
      </c>
      <c r="D579" s="3">
        <v>9099.7232884570076</v>
      </c>
      <c r="E579" s="3">
        <v>-0.79611629247665405</v>
      </c>
      <c r="F579" s="2"/>
      <c r="G579" s="3">
        <v>17</v>
      </c>
      <c r="H579" s="4">
        <v>13087629</v>
      </c>
      <c r="I579" s="3">
        <v>3.5560000000000001E-2</v>
      </c>
      <c r="J579" s="3">
        <v>67.103699608203726</v>
      </c>
      <c r="K579" s="3">
        <v>54.657191783380007</v>
      </c>
    </row>
    <row r="580" spans="1:11" x14ac:dyDescent="0.2">
      <c r="A580" s="2" t="s">
        <v>63</v>
      </c>
      <c r="B580" s="2" t="s">
        <v>64</v>
      </c>
      <c r="C580" s="3">
        <v>2006</v>
      </c>
      <c r="D580" s="3">
        <v>9386.0011471377402</v>
      </c>
      <c r="E580" s="3">
        <v>-0.69197463989257801</v>
      </c>
      <c r="F580" s="3">
        <v>3.0328500270843501</v>
      </c>
      <c r="G580" s="3">
        <v>28</v>
      </c>
      <c r="H580" s="4">
        <v>13367459</v>
      </c>
      <c r="I580" s="3">
        <v>5.0099999999999999E-2</v>
      </c>
      <c r="J580" s="3">
        <v>67.911923739661646</v>
      </c>
      <c r="K580" s="3">
        <v>55.591698669467803</v>
      </c>
    </row>
    <row r="581" spans="1:11" x14ac:dyDescent="0.2">
      <c r="A581" s="2" t="s">
        <v>63</v>
      </c>
      <c r="B581" s="2" t="s">
        <v>64</v>
      </c>
      <c r="C581" s="3">
        <v>2007</v>
      </c>
      <c r="D581" s="3">
        <v>9772.8053901732019</v>
      </c>
      <c r="E581" s="3">
        <v>-0.66386991739273105</v>
      </c>
      <c r="F581" s="3">
        <v>3.0880899429321298</v>
      </c>
      <c r="G581" s="3">
        <v>9</v>
      </c>
      <c r="H581" s="4">
        <v>13652040</v>
      </c>
      <c r="I581" s="3">
        <v>6.7820000000000005E-2</v>
      </c>
      <c r="J581" s="3">
        <v>69.001364310176271</v>
      </c>
      <c r="K581" s="3">
        <v>55.250422058823531</v>
      </c>
    </row>
    <row r="582" spans="1:11" x14ac:dyDescent="0.2">
      <c r="A582" s="2" t="s">
        <v>63</v>
      </c>
      <c r="B582" s="2" t="s">
        <v>64</v>
      </c>
      <c r="C582" s="3">
        <v>2008</v>
      </c>
      <c r="D582" s="3">
        <v>9889.572099748546</v>
      </c>
      <c r="E582" s="3">
        <v>-0.64727085828781095</v>
      </c>
      <c r="F582" s="3">
        <v>3.23686003684998</v>
      </c>
      <c r="G582" s="3">
        <v>5</v>
      </c>
      <c r="H582" s="4">
        <v>13935174</v>
      </c>
      <c r="I582" s="3">
        <v>6.2899999999999998E-2</v>
      </c>
      <c r="J582" s="3">
        <v>65.178730521310342</v>
      </c>
      <c r="K582" s="3">
        <v>55.860222549019618</v>
      </c>
    </row>
    <row r="583" spans="1:11" x14ac:dyDescent="0.2">
      <c r="A583" s="2" t="s">
        <v>63</v>
      </c>
      <c r="B583" s="2" t="s">
        <v>64</v>
      </c>
      <c r="C583" s="3">
        <v>2009</v>
      </c>
      <c r="D583" s="3">
        <v>9740.7093613083216</v>
      </c>
      <c r="E583" s="3">
        <v>-0.70974510908126798</v>
      </c>
      <c r="F583" s="2"/>
      <c r="G583" s="3">
        <v>7</v>
      </c>
      <c r="H583" s="4">
        <v>14215611</v>
      </c>
      <c r="I583" s="3">
        <v>5.62E-2</v>
      </c>
      <c r="J583" s="3">
        <v>58.040686973867317</v>
      </c>
      <c r="K583" s="3">
        <v>56.536135597572347</v>
      </c>
    </row>
    <row r="584" spans="1:11" x14ac:dyDescent="0.2">
      <c r="A584" s="2" t="s">
        <v>63</v>
      </c>
      <c r="B584" s="2" t="s">
        <v>64</v>
      </c>
      <c r="C584" s="3">
        <v>2010</v>
      </c>
      <c r="D584" s="3">
        <v>9825.0176796825035</v>
      </c>
      <c r="E584" s="3">
        <v>-0.72075462341308605</v>
      </c>
      <c r="F584" s="3">
        <v>2.84864997863769</v>
      </c>
      <c r="G584" s="3">
        <v>7</v>
      </c>
      <c r="H584" s="4">
        <v>14500112</v>
      </c>
      <c r="I584" s="3">
        <v>4.4209999999999999E-2</v>
      </c>
      <c r="J584" s="3">
        <v>63.125192574622183</v>
      </c>
      <c r="K584" s="3">
        <v>56.38524059290382</v>
      </c>
    </row>
    <row r="585" spans="1:11" x14ac:dyDescent="0.2">
      <c r="A585" s="2" t="s">
        <v>63</v>
      </c>
      <c r="B585" s="2" t="s">
        <v>64</v>
      </c>
      <c r="C585" s="3">
        <v>2011</v>
      </c>
      <c r="D585" s="3">
        <v>10032.08863246496</v>
      </c>
      <c r="E585" s="3">
        <v>-0.72451061010360696</v>
      </c>
      <c r="F585" s="3">
        <v>2.96865010261536</v>
      </c>
      <c r="G585" s="3">
        <v>4</v>
      </c>
      <c r="H585" s="4">
        <v>14792126</v>
      </c>
      <c r="I585" s="3">
        <v>4.8939999999999997E-2</v>
      </c>
      <c r="J585" s="3">
        <v>65.047051042045695</v>
      </c>
      <c r="K585" s="3">
        <v>56.261557002801112</v>
      </c>
    </row>
    <row r="586" spans="1:11" x14ac:dyDescent="0.2">
      <c r="A586" s="2" t="s">
        <v>63</v>
      </c>
      <c r="B586" s="2" t="s">
        <v>64</v>
      </c>
      <c r="C586" s="3">
        <v>2012</v>
      </c>
      <c r="D586" s="3">
        <v>10126.828362198639</v>
      </c>
      <c r="E586" s="3">
        <v>-0.78766673803329501</v>
      </c>
      <c r="F586" s="3">
        <v>3.00524997711182</v>
      </c>
      <c r="G586" s="3">
        <v>7</v>
      </c>
      <c r="H586" s="4">
        <v>15089647</v>
      </c>
      <c r="I586" s="3">
        <v>4.5429999999999998E-2</v>
      </c>
      <c r="J586" s="3">
        <v>61.959419335204181</v>
      </c>
      <c r="K586" s="3">
        <v>57.220270168067209</v>
      </c>
    </row>
    <row r="587" spans="1:11" x14ac:dyDescent="0.2">
      <c r="A587" s="2" t="s">
        <v>63</v>
      </c>
      <c r="B587" s="2" t="s">
        <v>64</v>
      </c>
      <c r="C587" s="3">
        <v>2013</v>
      </c>
      <c r="D587" s="3">
        <v>10297.839571041141</v>
      </c>
      <c r="E587" s="3">
        <v>-0.72754025459289595</v>
      </c>
      <c r="F587" s="3">
        <v>2.88808989524841</v>
      </c>
      <c r="G587" s="3">
        <v>4</v>
      </c>
      <c r="H587" s="4">
        <v>15387337</v>
      </c>
      <c r="I587" s="3">
        <v>3.916E-2</v>
      </c>
      <c r="J587" s="3">
        <v>56.685249020819818</v>
      </c>
      <c r="K587" s="3">
        <v>56.730129295051363</v>
      </c>
    </row>
    <row r="588" spans="1:11" x14ac:dyDescent="0.2">
      <c r="A588" s="2" t="s">
        <v>63</v>
      </c>
      <c r="B588" s="2" t="s">
        <v>64</v>
      </c>
      <c r="C588" s="3">
        <v>2014</v>
      </c>
      <c r="D588" s="3">
        <v>10553.564224429751</v>
      </c>
      <c r="E588" s="3">
        <v>-0.762856304645538</v>
      </c>
      <c r="F588" s="3">
        <v>2.9856200218200701</v>
      </c>
      <c r="G588" s="3">
        <v>10</v>
      </c>
      <c r="H588" s="4">
        <v>15681725</v>
      </c>
      <c r="I588" s="3">
        <v>2.9489999999999999E-2</v>
      </c>
      <c r="J588" s="3">
        <v>55.083273594512619</v>
      </c>
      <c r="K588" s="3">
        <v>57.878898202614387</v>
      </c>
    </row>
    <row r="589" spans="1:11" x14ac:dyDescent="0.2">
      <c r="A589" s="2" t="s">
        <v>63</v>
      </c>
      <c r="B589" s="2" t="s">
        <v>64</v>
      </c>
      <c r="C589" s="3">
        <v>2015</v>
      </c>
      <c r="D589" s="3">
        <v>10785.95846157768</v>
      </c>
      <c r="E589" s="3">
        <v>-0.76987993717193604</v>
      </c>
      <c r="F589" s="3">
        <v>3.0303299427032502</v>
      </c>
      <c r="G589" s="3">
        <v>7</v>
      </c>
      <c r="H589" s="4">
        <v>15971743</v>
      </c>
      <c r="I589" s="3">
        <v>3.0640000000000001E-2</v>
      </c>
      <c r="J589" s="3">
        <v>49.893451771068918</v>
      </c>
      <c r="K589" s="3">
        <v>57.779788795518201</v>
      </c>
    </row>
    <row r="590" spans="1:11" x14ac:dyDescent="0.2">
      <c r="A590" s="2" t="s">
        <v>63</v>
      </c>
      <c r="B590" s="2" t="s">
        <v>64</v>
      </c>
      <c r="C590" s="3">
        <v>2016</v>
      </c>
      <c r="D590" s="3">
        <v>10872.59399629164</v>
      </c>
      <c r="E590" s="3">
        <v>-0.65410244464874301</v>
      </c>
      <c r="F590" s="3">
        <v>2.9447400569915798</v>
      </c>
      <c r="G590" s="3">
        <v>3</v>
      </c>
      <c r="H590" s="4">
        <v>16268760</v>
      </c>
      <c r="I590" s="3">
        <v>2.3109999999999999E-2</v>
      </c>
      <c r="J590" s="3">
        <v>46.372734472249569</v>
      </c>
      <c r="K590" s="3">
        <v>58.090721848739513</v>
      </c>
    </row>
    <row r="591" spans="1:11" x14ac:dyDescent="0.2">
      <c r="A591" s="2" t="s">
        <v>63</v>
      </c>
      <c r="B591" s="2" t="s">
        <v>64</v>
      </c>
      <c r="C591" s="3">
        <v>2017</v>
      </c>
      <c r="D591" s="3">
        <v>11005.45939766533</v>
      </c>
      <c r="E591" s="3">
        <v>-0.69247388839721702</v>
      </c>
      <c r="F591" s="3">
        <v>2.9500999450683598</v>
      </c>
      <c r="G591" s="3">
        <v>3</v>
      </c>
      <c r="H591" s="4">
        <v>16567357</v>
      </c>
      <c r="I591" s="3">
        <v>2.955E-2</v>
      </c>
      <c r="J591" s="3">
        <v>46.069403346325799</v>
      </c>
      <c r="K591" s="3">
        <v>58.657932633053228</v>
      </c>
    </row>
    <row r="592" spans="1:11" x14ac:dyDescent="0.2">
      <c r="A592" s="2" t="s">
        <v>63</v>
      </c>
      <c r="B592" s="2" t="s">
        <v>64</v>
      </c>
      <c r="C592" s="3">
        <v>2018</v>
      </c>
      <c r="D592" s="3">
        <v>11192.372055507971</v>
      </c>
      <c r="E592" s="3">
        <v>-0.71776366233825695</v>
      </c>
      <c r="F592" s="3">
        <v>3.1319398880004901</v>
      </c>
      <c r="G592" s="3">
        <v>6</v>
      </c>
      <c r="H592" s="4">
        <v>16845685</v>
      </c>
      <c r="I592" s="3">
        <v>2.938E-2</v>
      </c>
      <c r="J592" s="3">
        <v>47.011685269922303</v>
      </c>
      <c r="K592" s="3">
        <v>58.881740242763783</v>
      </c>
    </row>
    <row r="593" spans="1:11" x14ac:dyDescent="0.2">
      <c r="A593" s="2" t="s">
        <v>63</v>
      </c>
      <c r="B593" s="2" t="s">
        <v>64</v>
      </c>
      <c r="C593" s="3">
        <v>2019</v>
      </c>
      <c r="D593" s="3">
        <v>11466.37658227953</v>
      </c>
      <c r="E593" s="3">
        <v>-0.72651433944702104</v>
      </c>
      <c r="F593" s="3">
        <v>3.1929700374603298</v>
      </c>
      <c r="G593" s="3">
        <v>7</v>
      </c>
      <c r="H593" s="4">
        <v>17103803</v>
      </c>
      <c r="I593" s="3">
        <v>2.6419999999999999E-2</v>
      </c>
      <c r="J593" s="3">
        <v>45.5167341512863</v>
      </c>
      <c r="K593" s="3">
        <v>59.105228501400553</v>
      </c>
    </row>
    <row r="594" spans="1:11" x14ac:dyDescent="0.2">
      <c r="A594" s="2" t="s">
        <v>63</v>
      </c>
      <c r="B594" s="2" t="s">
        <v>64</v>
      </c>
      <c r="C594" s="3">
        <v>2020</v>
      </c>
      <c r="D594" s="3">
        <v>11097.150411529999</v>
      </c>
      <c r="E594" s="3">
        <v>-0.71337223052978505</v>
      </c>
      <c r="F594" s="3">
        <v>3.29485011100769</v>
      </c>
      <c r="G594" s="3">
        <v>7</v>
      </c>
      <c r="H594" s="4">
        <v>17357325</v>
      </c>
      <c r="I594" s="3">
        <v>4.888E-2</v>
      </c>
      <c r="J594" s="3">
        <v>41.140759450771633</v>
      </c>
      <c r="K594" s="3">
        <v>59.244799416433231</v>
      </c>
    </row>
    <row r="595" spans="1:11" x14ac:dyDescent="0.2">
      <c r="A595" s="2" t="s">
        <v>63</v>
      </c>
      <c r="B595" s="2" t="s">
        <v>64</v>
      </c>
      <c r="C595" s="3">
        <v>2021</v>
      </c>
      <c r="D595" s="3">
        <v>11825.141273764</v>
      </c>
      <c r="E595" s="3">
        <v>-0.78286319971084595</v>
      </c>
      <c r="F595" s="3">
        <v>3.0910599231720002</v>
      </c>
      <c r="G595" s="3">
        <v>9</v>
      </c>
      <c r="H595" s="4">
        <v>17598650</v>
      </c>
      <c r="I595" s="3">
        <v>5.8630000000000002E-2</v>
      </c>
      <c r="J595" s="3">
        <v>49.261149457622793</v>
      </c>
      <c r="K595" s="3">
        <v>59.631920961718023</v>
      </c>
    </row>
    <row r="596" spans="1:11" x14ac:dyDescent="0.2">
      <c r="A596" s="2" t="s">
        <v>65</v>
      </c>
      <c r="B596" s="2" t="s">
        <v>66</v>
      </c>
      <c r="C596" s="3">
        <v>2000</v>
      </c>
      <c r="D596" s="3">
        <v>22117.920430319278</v>
      </c>
      <c r="E596" s="3">
        <v>0.99992984533309903</v>
      </c>
      <c r="F596" s="3">
        <v>4.8684000968933097</v>
      </c>
      <c r="G596" s="3">
        <v>810</v>
      </c>
      <c r="H596" s="4">
        <v>10210971</v>
      </c>
      <c r="I596" s="3">
        <v>0.79096</v>
      </c>
      <c r="J596" s="3">
        <v>137.26231309347</v>
      </c>
      <c r="K596" s="3">
        <v>76.924432249521317</v>
      </c>
    </row>
    <row r="597" spans="1:11" x14ac:dyDescent="0.2">
      <c r="A597" s="2" t="s">
        <v>65</v>
      </c>
      <c r="B597" s="2" t="s">
        <v>66</v>
      </c>
      <c r="C597" s="3">
        <v>2001</v>
      </c>
      <c r="D597" s="3">
        <v>23069.211473098749</v>
      </c>
      <c r="E597" s="2"/>
      <c r="F597" s="3">
        <v>4.9310097694396999</v>
      </c>
      <c r="G597" s="3">
        <v>919</v>
      </c>
      <c r="H597" s="4">
        <v>10187576</v>
      </c>
      <c r="I597" s="3">
        <v>0.91310000000000002</v>
      </c>
      <c r="J597" s="3">
        <v>130.90371423638689</v>
      </c>
      <c r="K597" s="3">
        <v>77.323018995240858</v>
      </c>
    </row>
    <row r="598" spans="1:11" x14ac:dyDescent="0.2">
      <c r="A598" s="2" t="s">
        <v>65</v>
      </c>
      <c r="B598" s="2" t="s">
        <v>66</v>
      </c>
      <c r="C598" s="3">
        <v>2002</v>
      </c>
      <c r="D598" s="3">
        <v>24229.295357598108</v>
      </c>
      <c r="E598" s="3">
        <v>0.99194914102554299</v>
      </c>
      <c r="F598" s="3">
        <v>5.1792302131652797</v>
      </c>
      <c r="G598" s="3">
        <v>842</v>
      </c>
      <c r="H598" s="4">
        <v>10158608</v>
      </c>
      <c r="I598" s="3">
        <v>0.98355000000000004</v>
      </c>
      <c r="J598" s="3">
        <v>118.2693352425551</v>
      </c>
      <c r="K598" s="3">
        <v>77.232225825389875</v>
      </c>
    </row>
    <row r="599" spans="1:11" x14ac:dyDescent="0.2">
      <c r="A599" s="2" t="s">
        <v>65</v>
      </c>
      <c r="B599" s="2" t="s">
        <v>66</v>
      </c>
      <c r="C599" s="3">
        <v>2003</v>
      </c>
      <c r="D599" s="3">
        <v>25255.87113005673</v>
      </c>
      <c r="E599" s="3">
        <v>0.827253758907318</v>
      </c>
      <c r="F599" s="3">
        <v>5.7923002243042001</v>
      </c>
      <c r="G599" s="3">
        <v>756</v>
      </c>
      <c r="H599" s="4">
        <v>10129552</v>
      </c>
      <c r="I599" s="3">
        <v>0.91883000000000004</v>
      </c>
      <c r="J599" s="3">
        <v>116.7870885408618</v>
      </c>
      <c r="K599" s="3">
        <v>77.119810173680492</v>
      </c>
    </row>
    <row r="600" spans="1:11" x14ac:dyDescent="0.2">
      <c r="A600" s="2" t="s">
        <v>65</v>
      </c>
      <c r="B600" s="2" t="s">
        <v>66</v>
      </c>
      <c r="C600" s="3">
        <v>2004</v>
      </c>
      <c r="D600" s="3">
        <v>26568.11886186403</v>
      </c>
      <c r="E600" s="3">
        <v>0.80182677507400502</v>
      </c>
      <c r="F600" s="3">
        <v>5.3276200294494602</v>
      </c>
      <c r="G600" s="3">
        <v>748</v>
      </c>
      <c r="H600" s="4">
        <v>10107146</v>
      </c>
      <c r="I600" s="3">
        <v>0.8599</v>
      </c>
      <c r="J600" s="3">
        <v>123.615686104174</v>
      </c>
      <c r="K600" s="3">
        <v>78.547608423000611</v>
      </c>
    </row>
    <row r="601" spans="1:11" x14ac:dyDescent="0.2">
      <c r="A601" s="2" t="s">
        <v>65</v>
      </c>
      <c r="B601" s="2" t="s">
        <v>66</v>
      </c>
      <c r="C601" s="3">
        <v>2005</v>
      </c>
      <c r="D601" s="3">
        <v>27765.788614619749</v>
      </c>
      <c r="E601" s="3">
        <v>0.74819290637970004</v>
      </c>
      <c r="F601" s="3">
        <v>5.3200798034668004</v>
      </c>
      <c r="G601" s="3">
        <v>705</v>
      </c>
      <c r="H601" s="4">
        <v>10087065</v>
      </c>
      <c r="I601" s="3">
        <v>0.91951000000000005</v>
      </c>
      <c r="J601" s="3">
        <v>128.00481064753819</v>
      </c>
      <c r="K601" s="3">
        <v>78.381125253045568</v>
      </c>
    </row>
    <row r="602" spans="1:11" x14ac:dyDescent="0.2">
      <c r="A602" s="2" t="s">
        <v>65</v>
      </c>
      <c r="B602" s="2" t="s">
        <v>66</v>
      </c>
      <c r="C602" s="3">
        <v>2006</v>
      </c>
      <c r="D602" s="3">
        <v>28903.047540707801</v>
      </c>
      <c r="E602" s="3">
        <v>0.83941197395324696</v>
      </c>
      <c r="F602" s="3">
        <v>5.2897400856018102</v>
      </c>
      <c r="G602" s="3">
        <v>718</v>
      </c>
      <c r="H602" s="4">
        <v>10071370</v>
      </c>
      <c r="I602" s="3">
        <v>0.97740000000000005</v>
      </c>
      <c r="J602" s="3">
        <v>149.23153156846109</v>
      </c>
      <c r="K602" s="3">
        <v>78.972721783771789</v>
      </c>
    </row>
    <row r="603" spans="1:11" x14ac:dyDescent="0.2">
      <c r="A603" s="2" t="s">
        <v>65</v>
      </c>
      <c r="B603" s="2" t="s">
        <v>66</v>
      </c>
      <c r="C603" s="3">
        <v>2007</v>
      </c>
      <c r="D603" s="3">
        <v>29044.066902125411</v>
      </c>
      <c r="E603" s="3">
        <v>0.69106680154800404</v>
      </c>
      <c r="F603" s="3">
        <v>5.1349501609802202</v>
      </c>
      <c r="G603" s="3">
        <v>689</v>
      </c>
      <c r="H603" s="4">
        <v>10055780</v>
      </c>
      <c r="I603" s="3">
        <v>0.95445000000000002</v>
      </c>
      <c r="J603" s="3">
        <v>155.60143236807031</v>
      </c>
      <c r="K603" s="3">
        <v>78.893104058961882</v>
      </c>
    </row>
    <row r="604" spans="1:11" x14ac:dyDescent="0.2">
      <c r="A604" s="2" t="s">
        <v>65</v>
      </c>
      <c r="B604" s="2" t="s">
        <v>66</v>
      </c>
      <c r="C604" s="3">
        <v>2008</v>
      </c>
      <c r="D604" s="3">
        <v>29384.007038581789</v>
      </c>
      <c r="E604" s="3">
        <v>0.69597786664962802</v>
      </c>
      <c r="F604" s="3">
        <v>4.9676399230956996</v>
      </c>
      <c r="G604" s="3">
        <v>683</v>
      </c>
      <c r="H604" s="4">
        <v>10038188</v>
      </c>
      <c r="I604" s="3">
        <v>0.97757000000000005</v>
      </c>
      <c r="J604" s="3">
        <v>158.45322411561861</v>
      </c>
      <c r="K604" s="3">
        <v>79.576323759400324</v>
      </c>
    </row>
    <row r="605" spans="1:11" x14ac:dyDescent="0.2">
      <c r="A605" s="2" t="s">
        <v>65</v>
      </c>
      <c r="B605" s="2" t="s">
        <v>66</v>
      </c>
      <c r="C605" s="3">
        <v>2009</v>
      </c>
      <c r="D605" s="3">
        <v>27445.95945847901</v>
      </c>
      <c r="E605" s="3">
        <v>0.66804838180542003</v>
      </c>
      <c r="F605" s="3">
        <v>4.9463601112365696</v>
      </c>
      <c r="G605" s="3">
        <v>757</v>
      </c>
      <c r="H605" s="4">
        <v>10022650</v>
      </c>
      <c r="I605" s="3">
        <v>1.12802</v>
      </c>
      <c r="J605" s="3">
        <v>145.3058773301899</v>
      </c>
      <c r="K605" s="3">
        <v>79.904357226107237</v>
      </c>
    </row>
    <row r="606" spans="1:11" x14ac:dyDescent="0.2">
      <c r="A606" s="2" t="s">
        <v>65</v>
      </c>
      <c r="B606" s="2" t="s">
        <v>66</v>
      </c>
      <c r="C606" s="3">
        <v>2010</v>
      </c>
      <c r="D606" s="3">
        <v>27801.83381611095</v>
      </c>
      <c r="E606" s="3">
        <v>0.644822657108307</v>
      </c>
      <c r="F606" s="3">
        <v>4.7237501144409197</v>
      </c>
      <c r="G606" s="3">
        <v>649</v>
      </c>
      <c r="H606" s="4">
        <v>10000023</v>
      </c>
      <c r="I606" s="3">
        <v>1.1286499999999999</v>
      </c>
      <c r="J606" s="3">
        <v>157.83896008589599</v>
      </c>
      <c r="K606" s="3">
        <v>79.684100830593025</v>
      </c>
    </row>
    <row r="607" spans="1:11" x14ac:dyDescent="0.2">
      <c r="A607" s="2" t="s">
        <v>65</v>
      </c>
      <c r="B607" s="2" t="s">
        <v>66</v>
      </c>
      <c r="C607" s="3">
        <v>2011</v>
      </c>
      <c r="D607" s="3">
        <v>28415.117344289702</v>
      </c>
      <c r="E607" s="3">
        <v>0.65021163225173995</v>
      </c>
      <c r="F607" s="3">
        <v>4.5631799697876003</v>
      </c>
      <c r="G607" s="3">
        <v>662</v>
      </c>
      <c r="H607" s="4">
        <v>9971727</v>
      </c>
      <c r="I607" s="3">
        <v>1.1792499999999999</v>
      </c>
      <c r="J607" s="3">
        <v>166.75434720989711</v>
      </c>
      <c r="K607" s="3">
        <v>79.837207840076587</v>
      </c>
    </row>
    <row r="608" spans="1:11" x14ac:dyDescent="0.2">
      <c r="A608" s="2" t="s">
        <v>65</v>
      </c>
      <c r="B608" s="2" t="s">
        <v>66</v>
      </c>
      <c r="C608" s="3">
        <v>2012</v>
      </c>
      <c r="D608" s="3">
        <v>28179.656464434</v>
      </c>
      <c r="E608" s="3">
        <v>0.60861784219741799</v>
      </c>
      <c r="F608" s="3">
        <v>4.1424999237060502</v>
      </c>
      <c r="G608" s="3">
        <v>692</v>
      </c>
      <c r="H608" s="4">
        <v>9920362</v>
      </c>
      <c r="I608" s="3">
        <v>1.25423</v>
      </c>
      <c r="J608" s="3">
        <v>166.1756986095705</v>
      </c>
      <c r="K608" s="3">
        <v>79.830091266025633</v>
      </c>
    </row>
    <row r="609" spans="1:11" x14ac:dyDescent="0.2">
      <c r="A609" s="2" t="s">
        <v>65</v>
      </c>
      <c r="B609" s="2" t="s">
        <v>66</v>
      </c>
      <c r="C609" s="3">
        <v>2013</v>
      </c>
      <c r="D609" s="3">
        <v>28891.021754497571</v>
      </c>
      <c r="E609" s="3">
        <v>0.67841839790344205</v>
      </c>
      <c r="F609" s="3">
        <v>4.1892199516296396</v>
      </c>
      <c r="G609" s="3">
        <v>642</v>
      </c>
      <c r="H609" s="4">
        <v>9872734</v>
      </c>
      <c r="I609" s="3">
        <v>1.3841000000000001</v>
      </c>
      <c r="J609" s="3">
        <v>164.47602479146661</v>
      </c>
      <c r="K609" s="3">
        <v>79.610523320082692</v>
      </c>
    </row>
    <row r="610" spans="1:11" x14ac:dyDescent="0.2">
      <c r="A610" s="2" t="s">
        <v>65</v>
      </c>
      <c r="B610" s="2" t="s">
        <v>66</v>
      </c>
      <c r="C610" s="3">
        <v>2014</v>
      </c>
      <c r="D610" s="3">
        <v>30264.949230216109</v>
      </c>
      <c r="E610" s="3">
        <v>0.58289563655853305</v>
      </c>
      <c r="F610" s="3">
        <v>4.6018700599670401</v>
      </c>
      <c r="G610" s="3">
        <v>546</v>
      </c>
      <c r="H610" s="4">
        <v>9833038</v>
      </c>
      <c r="I610" s="3">
        <v>1.3446</v>
      </c>
      <c r="J610" s="3">
        <v>168.3583550864127</v>
      </c>
      <c r="K610" s="3">
        <v>80.008928711392755</v>
      </c>
    </row>
    <row r="611" spans="1:11" x14ac:dyDescent="0.2">
      <c r="A611" s="2" t="s">
        <v>65</v>
      </c>
      <c r="B611" s="2" t="s">
        <v>66</v>
      </c>
      <c r="C611" s="3">
        <v>2015</v>
      </c>
      <c r="D611" s="3">
        <v>31485.567542563411</v>
      </c>
      <c r="E611" s="3">
        <v>0.50973695516586304</v>
      </c>
      <c r="F611" s="3">
        <v>4.49539995193481</v>
      </c>
      <c r="G611" s="3">
        <v>569</v>
      </c>
      <c r="H611" s="4">
        <v>9797755</v>
      </c>
      <c r="I611" s="3">
        <v>1.3395900000000001</v>
      </c>
      <c r="J611" s="3">
        <v>167.29073849452419</v>
      </c>
      <c r="K611" s="3">
        <v>80.090960546571466</v>
      </c>
    </row>
    <row r="612" spans="1:11" x14ac:dyDescent="0.2">
      <c r="A612" s="2" t="s">
        <v>65</v>
      </c>
      <c r="B612" s="2" t="s">
        <v>66</v>
      </c>
      <c r="C612" s="3">
        <v>2016</v>
      </c>
      <c r="D612" s="3">
        <v>32378.967498307531</v>
      </c>
      <c r="E612" s="3">
        <v>0.457127034664154</v>
      </c>
      <c r="F612" s="3">
        <v>4.6154799461364702</v>
      </c>
      <c r="G612" s="3">
        <v>616</v>
      </c>
      <c r="H612" s="4">
        <v>9759755</v>
      </c>
      <c r="I612" s="3">
        <v>1.17987</v>
      </c>
      <c r="J612" s="3">
        <v>163.9719445001501</v>
      </c>
      <c r="K612" s="3">
        <v>80.61015116983711</v>
      </c>
    </row>
    <row r="613" spans="1:11" x14ac:dyDescent="0.2">
      <c r="A613" s="2" t="s">
        <v>65</v>
      </c>
      <c r="B613" s="2" t="s">
        <v>66</v>
      </c>
      <c r="C613" s="3">
        <v>2017</v>
      </c>
      <c r="D613" s="3">
        <v>33828.714942571038</v>
      </c>
      <c r="E613" s="3">
        <v>0.481280267238617</v>
      </c>
      <c r="F613" s="3">
        <v>4.6475701332092303</v>
      </c>
      <c r="G613" s="3">
        <v>496</v>
      </c>
      <c r="H613" s="4">
        <v>9726756</v>
      </c>
      <c r="I613" s="3">
        <v>1.3170200000000001</v>
      </c>
      <c r="J613" s="3">
        <v>165.03285584026759</v>
      </c>
      <c r="K613" s="3">
        <v>80.50073980325233</v>
      </c>
    </row>
    <row r="614" spans="1:11" x14ac:dyDescent="0.2">
      <c r="A614" s="2" t="s">
        <v>65</v>
      </c>
      <c r="B614" s="2" t="s">
        <v>66</v>
      </c>
      <c r="C614" s="3">
        <v>2018</v>
      </c>
      <c r="D614" s="3">
        <v>35798.041275402189</v>
      </c>
      <c r="E614" s="3">
        <v>0.443152636289597</v>
      </c>
      <c r="F614" s="3">
        <v>4.6234397888183603</v>
      </c>
      <c r="G614" s="3">
        <v>407</v>
      </c>
      <c r="H614" s="4">
        <v>9706964</v>
      </c>
      <c r="I614" s="3">
        <v>1.5077499999999999</v>
      </c>
      <c r="J614" s="3">
        <v>162.70085877792491</v>
      </c>
      <c r="K614" s="3">
        <v>80.649277911845104</v>
      </c>
    </row>
    <row r="615" spans="1:11" x14ac:dyDescent="0.2">
      <c r="A615" s="2" t="s">
        <v>65</v>
      </c>
      <c r="B615" s="2" t="s">
        <v>66</v>
      </c>
      <c r="C615" s="3">
        <v>2019</v>
      </c>
      <c r="D615" s="3">
        <v>37662.676810139972</v>
      </c>
      <c r="E615" s="3">
        <v>0.45047891139984098</v>
      </c>
      <c r="F615" s="3">
        <v>4.2248802185058603</v>
      </c>
      <c r="G615" s="3">
        <v>427</v>
      </c>
      <c r="H615" s="4">
        <v>9694824</v>
      </c>
      <c r="I615" s="3">
        <v>1.4729099999999999</v>
      </c>
      <c r="J615" s="3">
        <v>159.92555646483089</v>
      </c>
      <c r="K615" s="3">
        <v>80.760008743860311</v>
      </c>
    </row>
    <row r="616" spans="1:11" x14ac:dyDescent="0.2">
      <c r="A616" s="2" t="s">
        <v>65</v>
      </c>
      <c r="B616" s="2" t="s">
        <v>66</v>
      </c>
      <c r="C616" s="3">
        <v>2020</v>
      </c>
      <c r="D616" s="3">
        <v>36119.521173565226</v>
      </c>
      <c r="E616" s="3">
        <v>0.53853559494018599</v>
      </c>
      <c r="F616" s="3">
        <v>4.1535701751709002</v>
      </c>
      <c r="G616" s="3">
        <v>428</v>
      </c>
      <c r="H616" s="4">
        <v>9670419</v>
      </c>
      <c r="I616" s="3">
        <v>1.5925199999999999</v>
      </c>
      <c r="J616" s="3">
        <v>154.52700293637699</v>
      </c>
      <c r="K616" s="3">
        <v>81.184900827124267</v>
      </c>
    </row>
    <row r="617" spans="1:11" x14ac:dyDescent="0.2">
      <c r="A617" s="2" t="s">
        <v>65</v>
      </c>
      <c r="B617" s="2" t="s">
        <v>66</v>
      </c>
      <c r="C617" s="3">
        <v>2021</v>
      </c>
      <c r="D617" s="3">
        <v>38887.190952715348</v>
      </c>
      <c r="E617" s="3">
        <v>0.596821069717407</v>
      </c>
      <c r="F617" s="3">
        <v>4.68406009674072</v>
      </c>
      <c r="G617" s="3">
        <v>433</v>
      </c>
      <c r="H617" s="4">
        <v>9630932</v>
      </c>
      <c r="I617" s="3">
        <v>1.6437900000000001</v>
      </c>
      <c r="J617" s="3">
        <v>159.18752733283409</v>
      </c>
      <c r="K617" s="3">
        <v>81.784664801517934</v>
      </c>
    </row>
    <row r="618" spans="1:11" x14ac:dyDescent="0.2">
      <c r="A618" s="2" t="s">
        <v>67</v>
      </c>
      <c r="B618" s="2" t="s">
        <v>68</v>
      </c>
      <c r="C618" s="3">
        <v>2000</v>
      </c>
      <c r="D618" s="3">
        <v>49338.471425263189</v>
      </c>
      <c r="E618" s="3">
        <v>1.94497442245483</v>
      </c>
      <c r="F618" s="3">
        <v>6.4314398765564</v>
      </c>
      <c r="G618" s="3">
        <v>51</v>
      </c>
      <c r="H618" s="4">
        <v>281205</v>
      </c>
      <c r="I618" s="3">
        <v>2.5720100000000001</v>
      </c>
      <c r="J618" s="3">
        <v>70.247774198166923</v>
      </c>
      <c r="K618" s="3">
        <v>77.829752427637729</v>
      </c>
    </row>
    <row r="619" spans="1:11" x14ac:dyDescent="0.2">
      <c r="A619" s="2" t="s">
        <v>67</v>
      </c>
      <c r="B619" s="2" t="s">
        <v>68</v>
      </c>
      <c r="C619" s="3">
        <v>2001</v>
      </c>
      <c r="D619" s="3">
        <v>50556.993835684232</v>
      </c>
      <c r="E619" s="2"/>
      <c r="F619" s="3">
        <v>6.7059202194213903</v>
      </c>
      <c r="G619" s="3">
        <v>49</v>
      </c>
      <c r="H619" s="4">
        <v>284968</v>
      </c>
      <c r="I619" s="3">
        <v>2.83989</v>
      </c>
      <c r="J619" s="3">
        <v>73.939532575524936</v>
      </c>
      <c r="K619" s="3">
        <v>78.685254201680678</v>
      </c>
    </row>
    <row r="620" spans="1:11" x14ac:dyDescent="0.2">
      <c r="A620" s="2" t="s">
        <v>67</v>
      </c>
      <c r="B620" s="2" t="s">
        <v>68</v>
      </c>
      <c r="C620" s="3">
        <v>2002</v>
      </c>
      <c r="D620" s="3">
        <v>50379.45955073159</v>
      </c>
      <c r="E620" s="3">
        <v>1.9568116664886499</v>
      </c>
      <c r="F620" s="3">
        <v>7.2989201545715297</v>
      </c>
      <c r="G620" s="3">
        <v>71</v>
      </c>
      <c r="H620" s="4">
        <v>287523</v>
      </c>
      <c r="I620" s="3">
        <v>2.8212000000000002</v>
      </c>
      <c r="J620" s="3">
        <v>68.710831468924908</v>
      </c>
      <c r="K620" s="3">
        <v>79.123366946778702</v>
      </c>
    </row>
    <row r="621" spans="1:11" x14ac:dyDescent="0.2">
      <c r="A621" s="2" t="s">
        <v>67</v>
      </c>
      <c r="B621" s="2" t="s">
        <v>68</v>
      </c>
      <c r="C621" s="3">
        <v>2003</v>
      </c>
      <c r="D621" s="3">
        <v>51173.19825426321</v>
      </c>
      <c r="E621" s="3">
        <v>2.0399632453918501</v>
      </c>
      <c r="F621" s="3">
        <v>7.2450799942016602</v>
      </c>
      <c r="G621" s="3">
        <v>57</v>
      </c>
      <c r="H621" s="4">
        <v>289521</v>
      </c>
      <c r="I621" s="3">
        <v>2.7054999999999998</v>
      </c>
      <c r="J621" s="3">
        <v>67.400998746012391</v>
      </c>
      <c r="K621" s="3">
        <v>78.432400303454727</v>
      </c>
    </row>
    <row r="622" spans="1:11" x14ac:dyDescent="0.2">
      <c r="A622" s="2" t="s">
        <v>67</v>
      </c>
      <c r="B622" s="2" t="s">
        <v>68</v>
      </c>
      <c r="C622" s="3">
        <v>2004</v>
      </c>
      <c r="D622" s="3">
        <v>54592.531462880434</v>
      </c>
      <c r="E622" s="3">
        <v>2.0523438453674299</v>
      </c>
      <c r="F622" s="3">
        <v>7.1611800193786603</v>
      </c>
      <c r="G622" s="3">
        <v>66</v>
      </c>
      <c r="H622" s="4">
        <v>292074</v>
      </c>
      <c r="I622" s="2"/>
      <c r="J622" s="3">
        <v>69.732620445249609</v>
      </c>
      <c r="K622" s="3">
        <v>77.797536157796458</v>
      </c>
    </row>
    <row r="623" spans="1:11" x14ac:dyDescent="0.2">
      <c r="A623" s="2" t="s">
        <v>67</v>
      </c>
      <c r="B623" s="2" t="s">
        <v>68</v>
      </c>
      <c r="C623" s="3">
        <v>2005</v>
      </c>
      <c r="D623" s="3">
        <v>57512.423733821321</v>
      </c>
      <c r="E623" s="3">
        <v>1.9684877395629901</v>
      </c>
      <c r="F623" s="3">
        <v>7.33843994140625</v>
      </c>
      <c r="G623" s="3">
        <v>47</v>
      </c>
      <c r="H623" s="4">
        <v>296734</v>
      </c>
      <c r="I623" s="3">
        <v>2.6796899999999999</v>
      </c>
      <c r="J623" s="3">
        <v>71.210679386135496</v>
      </c>
      <c r="K623" s="3">
        <v>76.865269467787101</v>
      </c>
    </row>
    <row r="624" spans="1:11" x14ac:dyDescent="0.2">
      <c r="A624" s="2" t="s">
        <v>67</v>
      </c>
      <c r="B624" s="2" t="s">
        <v>68</v>
      </c>
      <c r="C624" s="3">
        <v>2006</v>
      </c>
      <c r="D624" s="3">
        <v>59364.29011482808</v>
      </c>
      <c r="E624" s="3">
        <v>1.89015877246857</v>
      </c>
      <c r="F624" s="3">
        <v>7.1952199935913104</v>
      </c>
      <c r="G624" s="3">
        <v>45</v>
      </c>
      <c r="H624" s="4">
        <v>303782</v>
      </c>
      <c r="I624" s="3">
        <v>2.8526600000000002</v>
      </c>
      <c r="J624" s="3">
        <v>76.630853768670789</v>
      </c>
      <c r="K624" s="3">
        <v>76.619239635854342</v>
      </c>
    </row>
    <row r="625" spans="1:11" x14ac:dyDescent="0.2">
      <c r="A625" s="2" t="s">
        <v>67</v>
      </c>
      <c r="B625" s="2" t="s">
        <v>68</v>
      </c>
      <c r="C625" s="3">
        <v>2007</v>
      </c>
      <c r="D625" s="3">
        <v>62940.747343095529</v>
      </c>
      <c r="E625" s="3">
        <v>1.7888873815536499</v>
      </c>
      <c r="F625" s="3">
        <v>6.9443302154540998</v>
      </c>
      <c r="G625" s="3">
        <v>61</v>
      </c>
      <c r="H625" s="4">
        <v>311566</v>
      </c>
      <c r="I625" s="3">
        <v>2.53294</v>
      </c>
      <c r="J625" s="3">
        <v>73.624966883134078</v>
      </c>
      <c r="K625" s="3">
        <v>76.444836274509811</v>
      </c>
    </row>
    <row r="626" spans="1:11" x14ac:dyDescent="0.2">
      <c r="A626" s="2" t="s">
        <v>67</v>
      </c>
      <c r="B626" s="2" t="s">
        <v>68</v>
      </c>
      <c r="C626" s="3">
        <v>2008</v>
      </c>
      <c r="D626" s="3">
        <v>62831.172863181637</v>
      </c>
      <c r="E626" s="3">
        <v>1.82254898548126</v>
      </c>
      <c r="F626" s="3">
        <v>7.0360198020935103</v>
      </c>
      <c r="G626" s="3">
        <v>50</v>
      </c>
      <c r="H626" s="4">
        <v>317414</v>
      </c>
      <c r="I626" s="3">
        <v>2.46414</v>
      </c>
      <c r="J626" s="3">
        <v>81.902748185395168</v>
      </c>
      <c r="K626" s="3">
        <v>77.355908986928085</v>
      </c>
    </row>
    <row r="627" spans="1:11" x14ac:dyDescent="0.2">
      <c r="A627" s="2" t="s">
        <v>67</v>
      </c>
      <c r="B627" s="2" t="s">
        <v>68</v>
      </c>
      <c r="C627" s="3">
        <v>2009</v>
      </c>
      <c r="D627" s="3">
        <v>57406.469750681717</v>
      </c>
      <c r="E627" s="3">
        <v>1.63136506080627</v>
      </c>
      <c r="F627" s="3">
        <v>7.1898498535156197</v>
      </c>
      <c r="G627" s="3">
        <v>64</v>
      </c>
      <c r="H627" s="4">
        <v>318499</v>
      </c>
      <c r="I627" s="3">
        <v>2.5971299999999999</v>
      </c>
      <c r="J627" s="3">
        <v>89.00144405735</v>
      </c>
      <c r="K627" s="3">
        <v>79.332201750700278</v>
      </c>
    </row>
    <row r="628" spans="1:11" x14ac:dyDescent="0.2">
      <c r="A628" s="2" t="s">
        <v>67</v>
      </c>
      <c r="B628" s="2" t="s">
        <v>68</v>
      </c>
      <c r="C628" s="3">
        <v>2010</v>
      </c>
      <c r="D628" s="3">
        <v>56211.834541740209</v>
      </c>
      <c r="E628" s="3">
        <v>1.5804021358489999</v>
      </c>
      <c r="F628" s="3">
        <v>6.9442400932312003</v>
      </c>
      <c r="G628" s="3">
        <v>57</v>
      </c>
      <c r="H628" s="4">
        <v>318041</v>
      </c>
      <c r="I628" s="2"/>
      <c r="J628" s="3">
        <v>92.49015281101866</v>
      </c>
      <c r="K628" s="3">
        <v>80.120691783380039</v>
      </c>
    </row>
    <row r="629" spans="1:11" x14ac:dyDescent="0.2">
      <c r="A629" s="2" t="s">
        <v>67</v>
      </c>
      <c r="B629" s="2" t="s">
        <v>68</v>
      </c>
      <c r="C629" s="3">
        <v>2011</v>
      </c>
      <c r="D629" s="3">
        <v>56813.742648754</v>
      </c>
      <c r="E629" s="3">
        <v>1.5774759054184</v>
      </c>
      <c r="F629" s="3">
        <v>6.7899799346923801</v>
      </c>
      <c r="G629" s="3">
        <v>50</v>
      </c>
      <c r="H629" s="4">
        <v>319014</v>
      </c>
      <c r="I629" s="3">
        <v>2.40367</v>
      </c>
      <c r="J629" s="3">
        <v>100.13325264831271</v>
      </c>
      <c r="K629" s="3">
        <v>80.186464799253031</v>
      </c>
    </row>
    <row r="630" spans="1:11" x14ac:dyDescent="0.2">
      <c r="A630" s="2" t="s">
        <v>67</v>
      </c>
      <c r="B630" s="2" t="s">
        <v>68</v>
      </c>
      <c r="C630" s="3">
        <v>2012</v>
      </c>
      <c r="D630" s="3">
        <v>57173.043421229588</v>
      </c>
      <c r="E630" s="3">
        <v>1.4831444025039699</v>
      </c>
      <c r="F630" s="3">
        <v>7.5822300910949698</v>
      </c>
      <c r="G630" s="3">
        <v>37</v>
      </c>
      <c r="H630" s="4">
        <v>320716</v>
      </c>
      <c r="I630" s="2"/>
      <c r="J630" s="3">
        <v>102.43313709999789</v>
      </c>
      <c r="K630" s="3">
        <v>80.684474276377216</v>
      </c>
    </row>
    <row r="631" spans="1:11" x14ac:dyDescent="0.2">
      <c r="A631" s="2" t="s">
        <v>67</v>
      </c>
      <c r="B631" s="2" t="s">
        <v>68</v>
      </c>
      <c r="C631" s="3">
        <v>2013</v>
      </c>
      <c r="D631" s="3">
        <v>58671.930709837026</v>
      </c>
      <c r="E631" s="3">
        <v>1.4829857349395801</v>
      </c>
      <c r="F631" s="3">
        <v>7.4486899375915501</v>
      </c>
      <c r="G631" s="3">
        <v>33</v>
      </c>
      <c r="H631" s="4">
        <v>323764</v>
      </c>
      <c r="I631" s="3">
        <v>1.69238</v>
      </c>
      <c r="J631" s="3">
        <v>97.69802218612719</v>
      </c>
      <c r="K631" s="3">
        <v>80.572378104575165</v>
      </c>
    </row>
    <row r="632" spans="1:11" x14ac:dyDescent="0.2">
      <c r="A632" s="2" t="s">
        <v>67</v>
      </c>
      <c r="B632" s="2" t="s">
        <v>68</v>
      </c>
      <c r="C632" s="3">
        <v>2014</v>
      </c>
      <c r="D632" s="3">
        <v>59133.270145977323</v>
      </c>
      <c r="E632" s="3">
        <v>1.48536741733551</v>
      </c>
      <c r="F632" s="3">
        <v>7.6414098739623997</v>
      </c>
      <c r="G632" s="3">
        <v>51</v>
      </c>
      <c r="H632" s="4">
        <v>327386</v>
      </c>
      <c r="I632" s="3">
        <v>1.9361600000000001</v>
      </c>
      <c r="J632" s="3">
        <v>95.287919420166688</v>
      </c>
      <c r="K632" s="3">
        <v>80.656493604108306</v>
      </c>
    </row>
    <row r="633" spans="1:11" x14ac:dyDescent="0.2">
      <c r="A633" s="2" t="s">
        <v>67</v>
      </c>
      <c r="B633" s="2" t="s">
        <v>68</v>
      </c>
      <c r="C633" s="3">
        <v>2015</v>
      </c>
      <c r="D633" s="3">
        <v>60725.727124765748</v>
      </c>
      <c r="E633" s="3">
        <v>1.46093690395355</v>
      </c>
      <c r="F633" s="3">
        <v>7.4579701423645002</v>
      </c>
      <c r="G633" s="3">
        <v>40</v>
      </c>
      <c r="H633" s="4">
        <v>330815</v>
      </c>
      <c r="I633" s="3">
        <v>2.1813799999999999</v>
      </c>
      <c r="J633" s="3">
        <v>94.888802746023089</v>
      </c>
      <c r="K633" s="3">
        <v>80.829347712418311</v>
      </c>
    </row>
    <row r="634" spans="1:11" x14ac:dyDescent="0.2">
      <c r="A634" s="2" t="s">
        <v>67</v>
      </c>
      <c r="B634" s="2" t="s">
        <v>68</v>
      </c>
      <c r="C634" s="3">
        <v>2016</v>
      </c>
      <c r="D634" s="3">
        <v>63612.555158522307</v>
      </c>
      <c r="E634" s="3">
        <v>1.34993553161621</v>
      </c>
      <c r="F634" s="3">
        <v>7.4321999549865696</v>
      </c>
      <c r="G634" s="3">
        <v>35</v>
      </c>
      <c r="H634" s="4">
        <v>335439</v>
      </c>
      <c r="I634" s="3">
        <v>2.1101100000000002</v>
      </c>
      <c r="J634" s="3">
        <v>87.760016598339192</v>
      </c>
      <c r="K634" s="3">
        <v>80.320561087768453</v>
      </c>
    </row>
    <row r="635" spans="1:11" x14ac:dyDescent="0.2">
      <c r="A635" s="2" t="s">
        <v>67</v>
      </c>
      <c r="B635" s="2" t="s">
        <v>68</v>
      </c>
      <c r="C635" s="3">
        <v>2017</v>
      </c>
      <c r="D635" s="3">
        <v>64303.378250103728</v>
      </c>
      <c r="E635" s="3">
        <v>1.41358423233032</v>
      </c>
      <c r="F635" s="3">
        <v>7.5838599205017099</v>
      </c>
      <c r="G635" s="3">
        <v>36</v>
      </c>
      <c r="H635" s="4">
        <v>343400</v>
      </c>
      <c r="I635" s="3">
        <v>2.08365</v>
      </c>
      <c r="J635" s="3">
        <v>86.358533694506662</v>
      </c>
      <c r="K635" s="3">
        <v>80.37387175536881</v>
      </c>
    </row>
    <row r="636" spans="1:11" x14ac:dyDescent="0.2">
      <c r="A636" s="2" t="s">
        <v>67</v>
      </c>
      <c r="B636" s="2" t="s">
        <v>68</v>
      </c>
      <c r="C636" s="3">
        <v>2018</v>
      </c>
      <c r="D636" s="3">
        <v>65521.931342478063</v>
      </c>
      <c r="E636" s="3">
        <v>1.42581415176392</v>
      </c>
      <c r="F636" s="3">
        <v>7.5634999275207502</v>
      </c>
      <c r="G636" s="3">
        <v>56</v>
      </c>
      <c r="H636" s="4">
        <v>352721</v>
      </c>
      <c r="I636" s="3">
        <v>2.00081</v>
      </c>
      <c r="J636" s="3">
        <v>88.934996973139022</v>
      </c>
      <c r="K636" s="3">
        <v>79.963969817927193</v>
      </c>
    </row>
    <row r="637" spans="1:11" x14ac:dyDescent="0.2">
      <c r="A637" s="2" t="s">
        <v>67</v>
      </c>
      <c r="B637" s="2" t="s">
        <v>68</v>
      </c>
      <c r="C637" s="3">
        <v>2019</v>
      </c>
      <c r="D637" s="3">
        <v>64826.432408555651</v>
      </c>
      <c r="E637" s="3">
        <v>1.4820349216461199</v>
      </c>
      <c r="F637" s="3">
        <v>7.6012997627258301</v>
      </c>
      <c r="G637" s="3">
        <v>47</v>
      </c>
      <c r="H637" s="4">
        <v>360563</v>
      </c>
      <c r="I637" s="3">
        <v>2.3401800000000001</v>
      </c>
      <c r="J637" s="3">
        <v>83.792365951844346</v>
      </c>
      <c r="K637" s="3">
        <v>79.980728478057884</v>
      </c>
    </row>
    <row r="638" spans="1:11" x14ac:dyDescent="0.2">
      <c r="A638" s="2" t="s">
        <v>67</v>
      </c>
      <c r="B638" s="2" t="s">
        <v>68</v>
      </c>
      <c r="C638" s="3">
        <v>2020</v>
      </c>
      <c r="D638" s="3">
        <v>59543.813498683958</v>
      </c>
      <c r="E638" s="3">
        <v>1.47592997550964</v>
      </c>
      <c r="F638" s="3">
        <v>8.5838298797607404</v>
      </c>
      <c r="G638" s="3">
        <v>44</v>
      </c>
      <c r="H638" s="4">
        <v>366463</v>
      </c>
      <c r="I638" s="3">
        <v>2.4864000000000002</v>
      </c>
      <c r="J638" s="3">
        <v>68.655023346054762</v>
      </c>
      <c r="K638" s="3">
        <v>80.769858870214762</v>
      </c>
    </row>
    <row r="639" spans="1:11" x14ac:dyDescent="0.2">
      <c r="A639" s="2" t="s">
        <v>67</v>
      </c>
      <c r="B639" s="2" t="s">
        <v>68</v>
      </c>
      <c r="C639" s="3">
        <v>2021</v>
      </c>
      <c r="D639" s="3">
        <v>61610.213274071473</v>
      </c>
      <c r="E639" s="3">
        <v>1.59388387203217</v>
      </c>
      <c r="F639" s="3">
        <v>8.2090797424316406</v>
      </c>
      <c r="G639" s="3">
        <v>34</v>
      </c>
      <c r="H639" s="4">
        <v>372520</v>
      </c>
      <c r="I639" s="3">
        <v>2.7787500000000001</v>
      </c>
      <c r="J639" s="3">
        <v>76.231724985094445</v>
      </c>
      <c r="K639" s="3">
        <v>80.346246848739497</v>
      </c>
    </row>
    <row r="640" spans="1:11" x14ac:dyDescent="0.2">
      <c r="A640" s="2" t="s">
        <v>69</v>
      </c>
      <c r="B640" s="2" t="s">
        <v>70</v>
      </c>
      <c r="C640" s="3">
        <v>2000</v>
      </c>
      <c r="D640" s="3">
        <v>3099.5028215766001</v>
      </c>
      <c r="E640" s="3">
        <v>-0.187351524829865</v>
      </c>
      <c r="F640" s="3">
        <v>4.32479000091553</v>
      </c>
      <c r="G640" s="3">
        <v>2206</v>
      </c>
      <c r="H640" s="4">
        <v>1057922733</v>
      </c>
      <c r="I640" s="3">
        <v>0.75699000000000005</v>
      </c>
      <c r="J640" s="3">
        <v>26.90092291044736</v>
      </c>
      <c r="K640" s="3">
        <v>54.528814379084963</v>
      </c>
    </row>
    <row r="641" spans="1:11" x14ac:dyDescent="0.2">
      <c r="A641" s="2" t="s">
        <v>69</v>
      </c>
      <c r="B641" s="2" t="s">
        <v>70</v>
      </c>
      <c r="C641" s="3">
        <v>2001</v>
      </c>
      <c r="D641" s="3">
        <v>3188.810240206361</v>
      </c>
      <c r="E641" s="2"/>
      <c r="F641" s="2"/>
      <c r="G641" s="3">
        <v>2379</v>
      </c>
      <c r="H641" s="4">
        <v>1077898575</v>
      </c>
      <c r="I641" s="3">
        <v>0.73590999999999995</v>
      </c>
      <c r="J641" s="3">
        <v>25.993254753436521</v>
      </c>
      <c r="K641" s="3">
        <v>54.632853034547161</v>
      </c>
    </row>
    <row r="642" spans="1:11" x14ac:dyDescent="0.2">
      <c r="A642" s="2" t="s">
        <v>69</v>
      </c>
      <c r="B642" s="2" t="s">
        <v>70</v>
      </c>
      <c r="C642" s="3">
        <v>2002</v>
      </c>
      <c r="D642" s="3">
        <v>3250.6956554491749</v>
      </c>
      <c r="E642" s="3">
        <v>-0.18906842172145799</v>
      </c>
      <c r="F642" s="2"/>
      <c r="G642" s="3">
        <v>2693</v>
      </c>
      <c r="H642" s="4">
        <v>1097600380</v>
      </c>
      <c r="I642" s="3">
        <v>0.72567000000000004</v>
      </c>
      <c r="J642" s="3">
        <v>29.508662935061398</v>
      </c>
      <c r="K642" s="3">
        <v>54.532176073762841</v>
      </c>
    </row>
    <row r="643" spans="1:11" x14ac:dyDescent="0.2">
      <c r="A643" s="2" t="s">
        <v>69</v>
      </c>
      <c r="B643" s="2" t="s">
        <v>70</v>
      </c>
      <c r="C643" s="3">
        <v>2003</v>
      </c>
      <c r="D643" s="3">
        <v>3445.925923523952</v>
      </c>
      <c r="E643" s="3">
        <v>-0.14390942454338099</v>
      </c>
      <c r="F643" s="3">
        <v>3.61340999603271</v>
      </c>
      <c r="G643" s="3">
        <v>3425</v>
      </c>
      <c r="H643" s="4">
        <v>1116803006</v>
      </c>
      <c r="I643" s="3">
        <v>0.71928999999999998</v>
      </c>
      <c r="J643" s="3">
        <v>30.592436132907981</v>
      </c>
      <c r="K643" s="3">
        <v>54.955703478057899</v>
      </c>
    </row>
    <row r="644" spans="1:11" x14ac:dyDescent="0.2">
      <c r="A644" s="2" t="s">
        <v>69</v>
      </c>
      <c r="B644" s="2" t="s">
        <v>70</v>
      </c>
      <c r="C644" s="3">
        <v>2004</v>
      </c>
      <c r="D644" s="3">
        <v>3656.126206520978</v>
      </c>
      <c r="E644" s="3">
        <v>-0.17969888448715199</v>
      </c>
      <c r="F644" s="3">
        <v>3.35254001617432</v>
      </c>
      <c r="G644" s="3">
        <v>4014</v>
      </c>
      <c r="H644" s="4">
        <v>1135991513</v>
      </c>
      <c r="I644" s="3">
        <v>0.75690000000000002</v>
      </c>
      <c r="J644" s="3">
        <v>37.503814059446981</v>
      </c>
      <c r="K644" s="3">
        <v>54.961438655462203</v>
      </c>
    </row>
    <row r="645" spans="1:11" x14ac:dyDescent="0.2">
      <c r="A645" s="2" t="s">
        <v>69</v>
      </c>
      <c r="B645" s="2" t="s">
        <v>70</v>
      </c>
      <c r="C645" s="3">
        <v>2005</v>
      </c>
      <c r="D645" s="3">
        <v>3881.9661798273</v>
      </c>
      <c r="E645" s="3">
        <v>-9.8774634301662403E-2</v>
      </c>
      <c r="F645" s="3">
        <v>3.1887500286102299</v>
      </c>
      <c r="G645" s="3">
        <v>4721</v>
      </c>
      <c r="H645" s="4">
        <v>1154676322</v>
      </c>
      <c r="I645" s="3">
        <v>0.82411000000000001</v>
      </c>
      <c r="J645" s="3">
        <v>42.001669614869108</v>
      </c>
      <c r="K645" s="3">
        <v>55.279576540616247</v>
      </c>
    </row>
    <row r="646" spans="1:11" x14ac:dyDescent="0.2">
      <c r="A646" s="2" t="s">
        <v>69</v>
      </c>
      <c r="B646" s="2" t="s">
        <v>70</v>
      </c>
      <c r="C646" s="3">
        <v>2006</v>
      </c>
      <c r="D646" s="3">
        <v>4129.778370092391</v>
      </c>
      <c r="E646" s="3">
        <v>-9.5376491546630901E-2</v>
      </c>
      <c r="F646" s="3">
        <v>3.1428499221801798</v>
      </c>
      <c r="G646" s="3">
        <v>5686</v>
      </c>
      <c r="H646" s="4">
        <v>1172878890</v>
      </c>
      <c r="I646" s="3">
        <v>0.80472999999999995</v>
      </c>
      <c r="J646" s="3">
        <v>45.724480499265233</v>
      </c>
      <c r="K646" s="3">
        <v>55.69067068160598</v>
      </c>
    </row>
    <row r="647" spans="1:11" x14ac:dyDescent="0.2">
      <c r="A647" s="2" t="s">
        <v>69</v>
      </c>
      <c r="B647" s="2" t="s">
        <v>70</v>
      </c>
      <c r="C647" s="3">
        <v>2007</v>
      </c>
      <c r="D647" s="3">
        <v>4379.696043611505</v>
      </c>
      <c r="E647" s="3">
        <v>0.13699170947074901</v>
      </c>
      <c r="F647" s="2"/>
      <c r="G647" s="3">
        <v>6296</v>
      </c>
      <c r="H647" s="4">
        <v>1190676021</v>
      </c>
      <c r="I647" s="3">
        <v>0.80506999999999995</v>
      </c>
      <c r="J647" s="3">
        <v>45.686268679347982</v>
      </c>
      <c r="K647" s="3">
        <v>56.242708356675998</v>
      </c>
    </row>
    <row r="648" spans="1:11" x14ac:dyDescent="0.2">
      <c r="A648" s="2" t="s">
        <v>69</v>
      </c>
      <c r="B648" s="2" t="s">
        <v>70</v>
      </c>
      <c r="C648" s="3">
        <v>2008</v>
      </c>
      <c r="D648" s="3">
        <v>4450.3902291923832</v>
      </c>
      <c r="E648" s="3">
        <v>-9.7329141572117805E-3</v>
      </c>
      <c r="F648" s="2"/>
      <c r="G648" s="3">
        <v>6425</v>
      </c>
      <c r="H648" s="4">
        <v>1207930964</v>
      </c>
      <c r="I648" s="3">
        <v>0.85875999999999997</v>
      </c>
      <c r="J648" s="3">
        <v>53.368220439222632</v>
      </c>
      <c r="K648" s="3">
        <v>56.345370681605957</v>
      </c>
    </row>
    <row r="649" spans="1:11" x14ac:dyDescent="0.2">
      <c r="A649" s="2" t="s">
        <v>69</v>
      </c>
      <c r="B649" s="2" t="s">
        <v>70</v>
      </c>
      <c r="C649" s="3">
        <v>2009</v>
      </c>
      <c r="D649" s="3">
        <v>4731.3616046389634</v>
      </c>
      <c r="E649" s="3">
        <v>-3.2957887742668399E-3</v>
      </c>
      <c r="F649" s="3">
        <v>3.2782499790191699</v>
      </c>
      <c r="G649" s="3">
        <v>7262</v>
      </c>
      <c r="H649" s="4">
        <v>1225524753</v>
      </c>
      <c r="I649" s="3">
        <v>0.83313999999999999</v>
      </c>
      <c r="J649" s="3">
        <v>46.272869642883727</v>
      </c>
      <c r="K649" s="3">
        <v>56.106355625583568</v>
      </c>
    </row>
    <row r="650" spans="1:11" x14ac:dyDescent="0.2">
      <c r="A650" s="2" t="s">
        <v>69</v>
      </c>
      <c r="B650" s="2" t="s">
        <v>70</v>
      </c>
      <c r="C650" s="3">
        <v>2010</v>
      </c>
      <c r="D650" s="3">
        <v>5059.2827108397987</v>
      </c>
      <c r="E650" s="3">
        <v>3.1655985862016699E-2</v>
      </c>
      <c r="F650" s="3">
        <v>3.3776900768279998</v>
      </c>
      <c r="G650" s="3">
        <v>8853</v>
      </c>
      <c r="H650" s="4">
        <v>1243481564</v>
      </c>
      <c r="I650" s="3">
        <v>0.78849000000000002</v>
      </c>
      <c r="J650" s="3">
        <v>49.255206497416133</v>
      </c>
      <c r="K650" s="3">
        <v>57.075680788982268</v>
      </c>
    </row>
    <row r="651" spans="1:11" x14ac:dyDescent="0.2">
      <c r="A651" s="2" t="s">
        <v>69</v>
      </c>
      <c r="B651" s="2" t="s">
        <v>70</v>
      </c>
      <c r="C651" s="3">
        <v>2011</v>
      </c>
      <c r="D651" s="3">
        <v>5249.5492569402568</v>
      </c>
      <c r="E651" s="3">
        <v>2.2554069757461499E-2</v>
      </c>
      <c r="F651" s="3">
        <v>3.7961800098419198</v>
      </c>
      <c r="G651" s="3">
        <v>8841</v>
      </c>
      <c r="H651" s="4">
        <v>1261224954</v>
      </c>
      <c r="I651" s="3">
        <v>0.75502000000000002</v>
      </c>
      <c r="J651" s="3">
        <v>55.623880013529771</v>
      </c>
      <c r="K651" s="3">
        <v>58.136756395891688</v>
      </c>
    </row>
    <row r="652" spans="1:11" x14ac:dyDescent="0.2">
      <c r="A652" s="2" t="s">
        <v>69</v>
      </c>
      <c r="B652" s="2" t="s">
        <v>70</v>
      </c>
      <c r="C652" s="3">
        <v>2012</v>
      </c>
      <c r="D652" s="3">
        <v>5460.4376857005163</v>
      </c>
      <c r="E652" s="3">
        <v>-0.15608711540699</v>
      </c>
      <c r="F652" s="3">
        <v>3.8675000667571999</v>
      </c>
      <c r="G652" s="3">
        <v>9553</v>
      </c>
      <c r="H652" s="4">
        <v>1278674502</v>
      </c>
      <c r="I652" s="3">
        <v>0.74399000000000004</v>
      </c>
      <c r="J652" s="3">
        <v>55.793721728751137</v>
      </c>
      <c r="K652" s="3">
        <v>58.558067787114851</v>
      </c>
    </row>
    <row r="653" spans="1:11" x14ac:dyDescent="0.2">
      <c r="A653" s="2" t="s">
        <v>69</v>
      </c>
      <c r="B653" s="2" t="s">
        <v>70</v>
      </c>
      <c r="C653" s="3">
        <v>2013</v>
      </c>
      <c r="D653" s="3">
        <v>5732.2418909087564</v>
      </c>
      <c r="E653" s="3">
        <v>-0.15735514461994199</v>
      </c>
      <c r="F653" s="3">
        <v>3.8446700572967498</v>
      </c>
      <c r="G653" s="3">
        <v>10669</v>
      </c>
      <c r="H653" s="4">
        <v>1295829511</v>
      </c>
      <c r="I653" s="3">
        <v>0.70642000000000005</v>
      </c>
      <c r="J653" s="3">
        <v>53.844131946677727</v>
      </c>
      <c r="K653" s="3">
        <v>59.033859197012141</v>
      </c>
    </row>
    <row r="654" spans="1:11" x14ac:dyDescent="0.2">
      <c r="A654" s="2" t="s">
        <v>69</v>
      </c>
      <c r="B654" s="2" t="s">
        <v>70</v>
      </c>
      <c r="C654" s="3">
        <v>2014</v>
      </c>
      <c r="D654" s="3">
        <v>6079.843935236946</v>
      </c>
      <c r="E654" s="3">
        <v>-0.22284658253192899</v>
      </c>
      <c r="F654" s="3">
        <v>3.8987802324269301</v>
      </c>
      <c r="G654" s="3">
        <v>12040</v>
      </c>
      <c r="H654" s="4">
        <v>1312277191</v>
      </c>
      <c r="I654" s="3">
        <v>0.70159000000000005</v>
      </c>
      <c r="J654" s="3">
        <v>48.922185747066912</v>
      </c>
      <c r="K654" s="3">
        <v>60.104385317460327</v>
      </c>
    </row>
    <row r="655" spans="1:11" x14ac:dyDescent="0.2">
      <c r="A655" s="2" t="s">
        <v>69</v>
      </c>
      <c r="B655" s="2" t="s">
        <v>70</v>
      </c>
      <c r="C655" s="3">
        <v>2015</v>
      </c>
      <c r="D655" s="3">
        <v>6488.1460291078702</v>
      </c>
      <c r="E655" s="3">
        <v>8.0081500113010406E-2</v>
      </c>
      <c r="F655" s="3">
        <v>4.1145701408386204</v>
      </c>
      <c r="G655" s="3">
        <v>12579</v>
      </c>
      <c r="H655" s="4">
        <v>1328024498</v>
      </c>
      <c r="I655" s="3">
        <v>0.69310000000000005</v>
      </c>
      <c r="J655" s="3">
        <v>41.922913865864722</v>
      </c>
      <c r="K655" s="3">
        <v>60.514711671335199</v>
      </c>
    </row>
    <row r="656" spans="1:11" x14ac:dyDescent="0.2">
      <c r="A656" s="2" t="s">
        <v>69</v>
      </c>
      <c r="B656" s="2" t="s">
        <v>70</v>
      </c>
      <c r="C656" s="3">
        <v>2016</v>
      </c>
      <c r="D656" s="3">
        <v>6940.6258885752204</v>
      </c>
      <c r="E656" s="3">
        <v>6.1389416456222499E-2</v>
      </c>
      <c r="F656" s="3">
        <v>4.2540798187255904</v>
      </c>
      <c r="G656" s="3">
        <v>13199</v>
      </c>
      <c r="H656" s="4">
        <v>1343944296</v>
      </c>
      <c r="I656" s="3">
        <v>0.66983999999999999</v>
      </c>
      <c r="J656" s="3">
        <v>40.082485713276021</v>
      </c>
      <c r="K656" s="3">
        <v>61.093887745098037</v>
      </c>
    </row>
    <row r="657" spans="1:11" x14ac:dyDescent="0.2">
      <c r="A657" s="2" t="s">
        <v>69</v>
      </c>
      <c r="B657" s="2" t="s">
        <v>70</v>
      </c>
      <c r="C657" s="3">
        <v>2017</v>
      </c>
      <c r="D657" s="3">
        <v>7326.6069367985874</v>
      </c>
      <c r="E657" s="3">
        <v>4.1096631437540103E-2</v>
      </c>
      <c r="F657" s="3">
        <v>4.3054499626159703</v>
      </c>
      <c r="G657" s="3">
        <v>14961</v>
      </c>
      <c r="H657" s="4">
        <v>1359657400</v>
      </c>
      <c r="I657" s="3">
        <v>0.66603000000000001</v>
      </c>
      <c r="J657" s="3">
        <v>40.74249695452253</v>
      </c>
      <c r="K657" s="3">
        <v>61.857465126050421</v>
      </c>
    </row>
    <row r="658" spans="1:11" x14ac:dyDescent="0.2">
      <c r="A658" s="2" t="s">
        <v>69</v>
      </c>
      <c r="B658" s="2" t="s">
        <v>70</v>
      </c>
      <c r="C658" s="3">
        <v>2018</v>
      </c>
      <c r="D658" s="3">
        <v>7714.3397472453144</v>
      </c>
      <c r="E658" s="3">
        <v>0.26291778683662398</v>
      </c>
      <c r="F658" s="3">
        <v>4.3637399673461896</v>
      </c>
      <c r="G658" s="3">
        <v>16289</v>
      </c>
      <c r="H658" s="4">
        <v>1374659064</v>
      </c>
      <c r="I658" s="3">
        <v>0.66000999999999999</v>
      </c>
      <c r="J658" s="3">
        <v>43.616969332388891</v>
      </c>
      <c r="K658" s="3">
        <v>62.811665802987861</v>
      </c>
    </row>
    <row r="659" spans="1:11" x14ac:dyDescent="0.2">
      <c r="A659" s="2" t="s">
        <v>69</v>
      </c>
      <c r="B659" s="2" t="s">
        <v>70</v>
      </c>
      <c r="C659" s="3">
        <v>2019</v>
      </c>
      <c r="D659" s="3">
        <v>7930.0911303899047</v>
      </c>
      <c r="E659" s="3">
        <v>0.13077183067798601</v>
      </c>
      <c r="F659" s="3">
        <v>3.8973200321197501</v>
      </c>
      <c r="G659" s="3">
        <v>19454</v>
      </c>
      <c r="H659" s="4">
        <v>1389030312</v>
      </c>
      <c r="I659" s="3">
        <v>0.65942000000000001</v>
      </c>
      <c r="J659" s="3">
        <v>39.905403530644193</v>
      </c>
      <c r="K659" s="3">
        <v>64.077682726423902</v>
      </c>
    </row>
    <row r="660" spans="1:11" x14ac:dyDescent="0.2">
      <c r="A660" s="2" t="s">
        <v>69</v>
      </c>
      <c r="B660" s="2" t="s">
        <v>70</v>
      </c>
      <c r="C660" s="3">
        <v>2020</v>
      </c>
      <c r="D660" s="3">
        <v>7399.530680790408</v>
      </c>
      <c r="E660" s="3">
        <v>0.374532461166382</v>
      </c>
      <c r="F660" s="3">
        <v>4.2933502197265598</v>
      </c>
      <c r="G660" s="3">
        <v>23141</v>
      </c>
      <c r="H660" s="4">
        <v>1402617695</v>
      </c>
      <c r="I660" s="3">
        <v>0.64558000000000004</v>
      </c>
      <c r="J660" s="3">
        <v>37.758105329276752</v>
      </c>
      <c r="K660" s="3">
        <v>64.698233426704007</v>
      </c>
    </row>
    <row r="661" spans="1:11" x14ac:dyDescent="0.2">
      <c r="A661" s="2" t="s">
        <v>69</v>
      </c>
      <c r="B661" s="2" t="s">
        <v>70</v>
      </c>
      <c r="C661" s="3">
        <v>2021</v>
      </c>
      <c r="D661" s="3">
        <v>8050.0185745266408</v>
      </c>
      <c r="E661" s="3">
        <v>0.249238416552544</v>
      </c>
      <c r="F661" s="3">
        <v>4.6294999122619602</v>
      </c>
      <c r="G661" s="3">
        <v>26267</v>
      </c>
      <c r="H661" s="4">
        <v>1414203896</v>
      </c>
      <c r="I661" s="2"/>
      <c r="J661" s="3">
        <v>45.423088784044587</v>
      </c>
      <c r="K661" s="3">
        <v>65.669412931839389</v>
      </c>
    </row>
    <row r="662" spans="1:11" x14ac:dyDescent="0.2">
      <c r="A662" s="2" t="s">
        <v>71</v>
      </c>
      <c r="B662" s="2" t="s">
        <v>72</v>
      </c>
      <c r="C662" s="3">
        <v>2000</v>
      </c>
      <c r="D662" s="3">
        <v>6056.3819784216475</v>
      </c>
      <c r="E662" s="3">
        <v>-0.36605402827262901</v>
      </c>
      <c r="F662" s="2"/>
      <c r="G662" s="3">
        <v>157</v>
      </c>
      <c r="H662" s="4">
        <v>216077790</v>
      </c>
      <c r="I662" s="3">
        <v>6.769E-2</v>
      </c>
      <c r="J662" s="3">
        <v>71.436875917373087</v>
      </c>
      <c r="K662" s="3">
        <v>59.849653408029873</v>
      </c>
    </row>
    <row r="663" spans="1:11" x14ac:dyDescent="0.2">
      <c r="A663" s="2" t="s">
        <v>71</v>
      </c>
      <c r="B663" s="2" t="s">
        <v>72</v>
      </c>
      <c r="C663" s="3">
        <v>2001</v>
      </c>
      <c r="D663" s="3">
        <v>6190.5195404099086</v>
      </c>
      <c r="E663" s="2"/>
      <c r="F663" s="3">
        <v>2.4600300788879399</v>
      </c>
      <c r="G663" s="3">
        <v>212</v>
      </c>
      <c r="H663" s="4">
        <v>219097902</v>
      </c>
      <c r="I663" s="3">
        <v>4.7559999999999998E-2</v>
      </c>
      <c r="J663" s="3">
        <v>69.793207525623785</v>
      </c>
      <c r="K663" s="3">
        <v>59.856359733893562</v>
      </c>
    </row>
    <row r="664" spans="1:11" x14ac:dyDescent="0.2">
      <c r="A664" s="2" t="s">
        <v>71</v>
      </c>
      <c r="B664" s="2" t="s">
        <v>72</v>
      </c>
      <c r="C664" s="3">
        <v>2002</v>
      </c>
      <c r="D664" s="3">
        <v>6381.9495517999567</v>
      </c>
      <c r="E664" s="3">
        <v>-0.55052304267883301</v>
      </c>
      <c r="F664" s="3">
        <v>2.64568996429443</v>
      </c>
      <c r="G664" s="3">
        <v>234</v>
      </c>
      <c r="H664" s="4">
        <v>222088495</v>
      </c>
      <c r="I664" s="2"/>
      <c r="J664" s="3">
        <v>59.079461766372262</v>
      </c>
      <c r="K664" s="3">
        <v>60.879938422035487</v>
      </c>
    </row>
    <row r="665" spans="1:11" x14ac:dyDescent="0.2">
      <c r="A665" s="2" t="s">
        <v>71</v>
      </c>
      <c r="B665" s="2" t="s">
        <v>72</v>
      </c>
      <c r="C665" s="3">
        <v>2003</v>
      </c>
      <c r="D665" s="3">
        <v>6599.0919359703439</v>
      </c>
      <c r="E665" s="3">
        <v>-0.59645450115203902</v>
      </c>
      <c r="F665" s="3">
        <v>3.21799993515015</v>
      </c>
      <c r="G665" s="3">
        <v>201</v>
      </c>
      <c r="H665" s="4">
        <v>225048008</v>
      </c>
      <c r="I665" s="2"/>
      <c r="J665" s="3">
        <v>53.616493747301583</v>
      </c>
      <c r="K665" s="3">
        <v>61.138192973856214</v>
      </c>
    </row>
    <row r="666" spans="1:11" x14ac:dyDescent="0.2">
      <c r="A666" s="2" t="s">
        <v>71</v>
      </c>
      <c r="B666" s="2" t="s">
        <v>72</v>
      </c>
      <c r="C666" s="3">
        <v>2004</v>
      </c>
      <c r="D666" s="3">
        <v>6843.5465497236419</v>
      </c>
      <c r="E666" s="3">
        <v>-0.49050500988960299</v>
      </c>
      <c r="F666" s="3">
        <v>2.7484700679778999</v>
      </c>
      <c r="G666" s="3">
        <v>227</v>
      </c>
      <c r="H666" s="4">
        <v>227926649</v>
      </c>
      <c r="I666" s="2"/>
      <c r="J666" s="3">
        <v>59.761294836691043</v>
      </c>
      <c r="K666" s="3">
        <v>60.993976027077508</v>
      </c>
    </row>
    <row r="667" spans="1:11" x14ac:dyDescent="0.2">
      <c r="A667" s="2" t="s">
        <v>71</v>
      </c>
      <c r="B667" s="2" t="s">
        <v>72</v>
      </c>
      <c r="C667" s="3">
        <v>2005</v>
      </c>
      <c r="D667" s="3">
        <v>7140.8545640704042</v>
      </c>
      <c r="E667" s="3">
        <v>-0.50264471769332897</v>
      </c>
      <c r="F667" s="3">
        <v>2.87281990051269</v>
      </c>
      <c r="G667" s="3">
        <v>235</v>
      </c>
      <c r="H667" s="4">
        <v>230871650</v>
      </c>
      <c r="I667" s="2"/>
      <c r="J667" s="3">
        <v>63.987935868863467</v>
      </c>
      <c r="K667" s="3">
        <v>61.496126540616252</v>
      </c>
    </row>
    <row r="668" spans="1:11" x14ac:dyDescent="0.2">
      <c r="A668" s="2" t="s">
        <v>71</v>
      </c>
      <c r="B668" s="2" t="s">
        <v>72</v>
      </c>
      <c r="C668" s="3">
        <v>2006</v>
      </c>
      <c r="D668" s="3">
        <v>7434.4878535222051</v>
      </c>
      <c r="E668" s="3">
        <v>-0.348611891269684</v>
      </c>
      <c r="F668" s="2"/>
      <c r="G668" s="3">
        <v>288</v>
      </c>
      <c r="H668" s="4">
        <v>233951652</v>
      </c>
      <c r="I668" s="2"/>
      <c r="J668" s="3">
        <v>56.657126814886652</v>
      </c>
      <c r="K668" s="3">
        <v>61.000618207282912</v>
      </c>
    </row>
    <row r="669" spans="1:11" x14ac:dyDescent="0.2">
      <c r="A669" s="2" t="s">
        <v>71</v>
      </c>
      <c r="B669" s="2" t="s">
        <v>72</v>
      </c>
      <c r="C669" s="3">
        <v>2007</v>
      </c>
      <c r="D669" s="3">
        <v>7802.4640690595443</v>
      </c>
      <c r="E669" s="3">
        <v>-0.30746361613273598</v>
      </c>
      <c r="F669" s="3">
        <v>3.04425001144409</v>
      </c>
      <c r="G669" s="3">
        <v>284</v>
      </c>
      <c r="H669" s="4">
        <v>237062337</v>
      </c>
      <c r="I669" s="2"/>
      <c r="J669" s="3">
        <v>54.829249978207457</v>
      </c>
      <c r="K669" s="3">
        <v>61.728256932773107</v>
      </c>
    </row>
    <row r="670" spans="1:11" x14ac:dyDescent="0.2">
      <c r="A670" s="2" t="s">
        <v>71</v>
      </c>
      <c r="B670" s="2" t="s">
        <v>72</v>
      </c>
      <c r="C670" s="3">
        <v>2008</v>
      </c>
      <c r="D670" s="3">
        <v>8165.0615511662436</v>
      </c>
      <c r="E670" s="3">
        <v>-0.26271912455558799</v>
      </c>
      <c r="F670" s="3">
        <v>2.9019000530242902</v>
      </c>
      <c r="G670" s="3">
        <v>386</v>
      </c>
      <c r="H670" s="4">
        <v>240157903</v>
      </c>
      <c r="I670" s="2"/>
      <c r="J670" s="3">
        <v>58.561399631296062</v>
      </c>
      <c r="K670" s="3">
        <v>62.086816993464048</v>
      </c>
    </row>
    <row r="671" spans="1:11" x14ac:dyDescent="0.2">
      <c r="A671" s="2" t="s">
        <v>71</v>
      </c>
      <c r="B671" s="2" t="s">
        <v>72</v>
      </c>
      <c r="C671" s="3">
        <v>2009</v>
      </c>
      <c r="D671" s="3">
        <v>8435.4557468628973</v>
      </c>
      <c r="E671" s="3">
        <v>-0.33005911111831698</v>
      </c>
      <c r="F671" s="3">
        <v>3.5251300334930402</v>
      </c>
      <c r="G671" s="3">
        <v>415</v>
      </c>
      <c r="H671" s="4">
        <v>243220028</v>
      </c>
      <c r="I671" s="3">
        <v>8.3320000000000005E-2</v>
      </c>
      <c r="J671" s="3">
        <v>45.512121368705387</v>
      </c>
      <c r="K671" s="3">
        <v>62.443193790849669</v>
      </c>
    </row>
    <row r="672" spans="1:11" x14ac:dyDescent="0.2">
      <c r="A672" s="2" t="s">
        <v>71</v>
      </c>
      <c r="B672" s="2" t="s">
        <v>72</v>
      </c>
      <c r="C672" s="3">
        <v>2010</v>
      </c>
      <c r="D672" s="3">
        <v>8848.2247370206551</v>
      </c>
      <c r="E672" s="3">
        <v>-0.26694101095199602</v>
      </c>
      <c r="F672" s="3">
        <v>2.8122799396514901</v>
      </c>
      <c r="G672" s="3">
        <v>508</v>
      </c>
      <c r="H672" s="4">
        <v>246305322</v>
      </c>
      <c r="I672" s="2"/>
      <c r="J672" s="3">
        <v>46.701273875873703</v>
      </c>
      <c r="K672" s="3">
        <v>63.182234267040172</v>
      </c>
    </row>
    <row r="673" spans="1:11" x14ac:dyDescent="0.2">
      <c r="A673" s="2" t="s">
        <v>71</v>
      </c>
      <c r="B673" s="2" t="s">
        <v>72</v>
      </c>
      <c r="C673" s="3">
        <v>2011</v>
      </c>
      <c r="D673" s="3">
        <v>9274.9695518170211</v>
      </c>
      <c r="E673" s="3">
        <v>-0.32159194350242598</v>
      </c>
      <c r="F673" s="3">
        <v>3.1894400119781499</v>
      </c>
      <c r="G673" s="3">
        <v>533</v>
      </c>
      <c r="H673" s="4">
        <v>249470032</v>
      </c>
      <c r="I673" s="2"/>
      <c r="J673" s="3">
        <v>50.180013184110372</v>
      </c>
      <c r="K673" s="3">
        <v>62.754116106442581</v>
      </c>
    </row>
    <row r="674" spans="1:11" x14ac:dyDescent="0.2">
      <c r="A674" s="2" t="s">
        <v>71</v>
      </c>
      <c r="B674" s="2" t="s">
        <v>72</v>
      </c>
      <c r="C674" s="3">
        <v>2012</v>
      </c>
      <c r="D674" s="3">
        <v>9708.611825310807</v>
      </c>
      <c r="E674" s="3">
        <v>-0.33047968149185197</v>
      </c>
      <c r="F674" s="3">
        <v>3.4074800014495801</v>
      </c>
      <c r="G674" s="2"/>
      <c r="H674" s="4">
        <v>252698525</v>
      </c>
      <c r="I674" s="2"/>
      <c r="J674" s="3">
        <v>49.582898299262702</v>
      </c>
      <c r="K674" s="3">
        <v>63.654169654528488</v>
      </c>
    </row>
    <row r="675" spans="1:11" x14ac:dyDescent="0.2">
      <c r="A675" s="2" t="s">
        <v>71</v>
      </c>
      <c r="B675" s="2" t="s">
        <v>72</v>
      </c>
      <c r="C675" s="3">
        <v>2013</v>
      </c>
      <c r="D675" s="3">
        <v>10121.8141535043</v>
      </c>
      <c r="E675" s="3">
        <v>-0.24426235258579301</v>
      </c>
      <c r="F675" s="3">
        <v>3.3590400218963601</v>
      </c>
      <c r="G675" s="3">
        <v>663</v>
      </c>
      <c r="H675" s="4">
        <v>255852467</v>
      </c>
      <c r="I675" s="3">
        <v>8.4699999999999998E-2</v>
      </c>
      <c r="J675" s="3">
        <v>48.637372675289278</v>
      </c>
      <c r="K675" s="3">
        <v>63.723162301587287</v>
      </c>
    </row>
    <row r="676" spans="1:11" x14ac:dyDescent="0.2">
      <c r="A676" s="2" t="s">
        <v>71</v>
      </c>
      <c r="B676" s="2" t="s">
        <v>72</v>
      </c>
      <c r="C676" s="3">
        <v>2014</v>
      </c>
      <c r="D676" s="3">
        <v>10504.386941108771</v>
      </c>
      <c r="E676" s="3">
        <v>-6.6690765321254702E-2</v>
      </c>
      <c r="F676" s="3">
        <v>3.2880098819732702</v>
      </c>
      <c r="G676" s="3">
        <v>702</v>
      </c>
      <c r="H676" s="4">
        <v>258877399</v>
      </c>
      <c r="I676" s="2"/>
      <c r="J676" s="3">
        <v>48.08017558552271</v>
      </c>
      <c r="K676" s="3">
        <v>64.318874229691886</v>
      </c>
    </row>
    <row r="677" spans="1:11" x14ac:dyDescent="0.2">
      <c r="A677" s="2" t="s">
        <v>71</v>
      </c>
      <c r="B677" s="2" t="s">
        <v>72</v>
      </c>
      <c r="C677" s="3">
        <v>2015</v>
      </c>
      <c r="D677" s="3">
        <v>10893.66211421693</v>
      </c>
      <c r="E677" s="3">
        <v>-0.325818121433258</v>
      </c>
      <c r="F677" s="3">
        <v>3.5836000442504901</v>
      </c>
      <c r="G677" s="3">
        <v>1058</v>
      </c>
      <c r="H677" s="4">
        <v>261799249</v>
      </c>
      <c r="I677" s="2"/>
      <c r="J677" s="3">
        <v>41.93764024152938</v>
      </c>
      <c r="K677" s="3">
        <v>65.096168930905705</v>
      </c>
    </row>
    <row r="678" spans="1:11" x14ac:dyDescent="0.2">
      <c r="A678" s="2" t="s">
        <v>71</v>
      </c>
      <c r="B678" s="2" t="s">
        <v>72</v>
      </c>
      <c r="C678" s="3">
        <v>2016</v>
      </c>
      <c r="D678" s="3">
        <v>11319.6634287738</v>
      </c>
      <c r="E678" s="3">
        <v>-5.07822521030903E-2</v>
      </c>
      <c r="F678" s="3">
        <v>1.21023452496964</v>
      </c>
      <c r="G678" s="3">
        <v>1101</v>
      </c>
      <c r="H678" s="4">
        <v>264627418</v>
      </c>
      <c r="I678" s="3">
        <v>0.24535000000000001</v>
      </c>
      <c r="J678" s="3">
        <v>37.421341802331817</v>
      </c>
      <c r="K678" s="3">
        <v>65.5563970821662</v>
      </c>
    </row>
    <row r="679" spans="1:11" x14ac:dyDescent="0.2">
      <c r="A679" s="2" t="s">
        <v>71</v>
      </c>
      <c r="B679" s="2" t="s">
        <v>72</v>
      </c>
      <c r="C679" s="3">
        <v>2017</v>
      </c>
      <c r="D679" s="3">
        <v>11772.574329610679</v>
      </c>
      <c r="E679" s="3">
        <v>-1.97342690080404E-2</v>
      </c>
      <c r="F679" s="3">
        <v>1.05324382490056</v>
      </c>
      <c r="G679" s="3">
        <v>2271</v>
      </c>
      <c r="H679" s="4">
        <v>267346658</v>
      </c>
      <c r="I679" s="3">
        <v>0.23805000000000001</v>
      </c>
      <c r="J679" s="3">
        <v>39.355497070460594</v>
      </c>
      <c r="K679" s="3">
        <v>66.797687464985984</v>
      </c>
    </row>
    <row r="680" spans="1:11" x14ac:dyDescent="0.2">
      <c r="A680" s="2" t="s">
        <v>71</v>
      </c>
      <c r="B680" s="2" t="s">
        <v>72</v>
      </c>
      <c r="C680" s="3">
        <v>2018</v>
      </c>
      <c r="D680" s="3">
        <v>12262.231030077101</v>
      </c>
      <c r="E680" s="3">
        <v>0.14137987792491899</v>
      </c>
      <c r="F680" s="3">
        <v>0.99443646084617898</v>
      </c>
      <c r="G680" s="3">
        <v>1407</v>
      </c>
      <c r="H680" s="4">
        <v>269951846</v>
      </c>
      <c r="I680" s="3">
        <v>0.22631999999999999</v>
      </c>
      <c r="J680" s="3">
        <v>43.074308955200152</v>
      </c>
      <c r="K680" s="3">
        <v>67.611705718954255</v>
      </c>
    </row>
    <row r="681" spans="1:11" x14ac:dyDescent="0.2">
      <c r="A681" s="2" t="s">
        <v>71</v>
      </c>
      <c r="B681" s="2" t="s">
        <v>72</v>
      </c>
      <c r="C681" s="3">
        <v>2019</v>
      </c>
      <c r="D681" s="3">
        <v>12757.78508548416</v>
      </c>
      <c r="E681" s="3">
        <v>0.13870000839233401</v>
      </c>
      <c r="F681" s="3">
        <v>0.96439907762292698</v>
      </c>
      <c r="G681" s="3">
        <v>3093</v>
      </c>
      <c r="H681" s="4">
        <v>272489381</v>
      </c>
      <c r="I681" s="3">
        <v>0.27128999999999998</v>
      </c>
      <c r="J681" s="3">
        <v>37.627777535710813</v>
      </c>
      <c r="K681" s="3">
        <v>68.239704878618127</v>
      </c>
    </row>
    <row r="682" spans="1:11" x14ac:dyDescent="0.2">
      <c r="A682" s="2" t="s">
        <v>71</v>
      </c>
      <c r="B682" s="2" t="s">
        <v>72</v>
      </c>
      <c r="C682" s="3">
        <v>2020</v>
      </c>
      <c r="D682" s="3">
        <v>12388.544926813131</v>
      </c>
      <c r="E682" s="3">
        <v>0.31706503033638</v>
      </c>
      <c r="F682" s="3">
        <v>1.0159322134780899</v>
      </c>
      <c r="G682" s="3">
        <v>1309</v>
      </c>
      <c r="H682" s="4">
        <v>274814866</v>
      </c>
      <c r="I682" s="3">
        <v>0.28067999999999999</v>
      </c>
      <c r="J682" s="3">
        <v>32.97217540024274</v>
      </c>
      <c r="K682" s="3">
        <v>69.05891132119514</v>
      </c>
    </row>
    <row r="683" spans="1:11" x14ac:dyDescent="0.2">
      <c r="A683" s="2" t="s">
        <v>71</v>
      </c>
      <c r="B683" s="2" t="s">
        <v>72</v>
      </c>
      <c r="C683" s="3">
        <v>2021</v>
      </c>
      <c r="D683" s="3">
        <v>12757.074644020369</v>
      </c>
      <c r="E683" s="3">
        <v>0.34644344449043302</v>
      </c>
      <c r="F683" s="3">
        <v>1.03221750658374</v>
      </c>
      <c r="G683" s="3">
        <v>1397</v>
      </c>
      <c r="H683" s="4">
        <v>276758053</v>
      </c>
      <c r="I683" s="2"/>
      <c r="J683" s="3">
        <v>40.204758274967141</v>
      </c>
      <c r="K683" s="3">
        <v>69.510795168067219</v>
      </c>
    </row>
    <row r="684" spans="1:11" x14ac:dyDescent="0.2">
      <c r="A684" s="2" t="s">
        <v>73</v>
      </c>
      <c r="B684" s="2" t="s">
        <v>74</v>
      </c>
      <c r="C684" s="3">
        <v>2000</v>
      </c>
      <c r="D684" s="3">
        <v>11643.12180776965</v>
      </c>
      <c r="E684" s="3">
        <v>-0.49234190583229098</v>
      </c>
      <c r="F684" s="3">
        <v>4.03064012527466</v>
      </c>
      <c r="G684" s="3">
        <v>410</v>
      </c>
      <c r="H684" s="4">
        <v>66418659</v>
      </c>
      <c r="I684" s="2"/>
      <c r="J684" s="3">
        <v>41.257247463803097</v>
      </c>
      <c r="K684" s="3">
        <v>61.551247105508871</v>
      </c>
    </row>
    <row r="685" spans="1:11" x14ac:dyDescent="0.2">
      <c r="A685" s="2" t="s">
        <v>73</v>
      </c>
      <c r="B685" s="2" t="s">
        <v>74</v>
      </c>
      <c r="C685" s="3">
        <v>2001</v>
      </c>
      <c r="D685" s="3">
        <v>11739.00909112818</v>
      </c>
      <c r="E685" s="2"/>
      <c r="F685" s="3">
        <v>4.0716800689697301</v>
      </c>
      <c r="G685" s="3">
        <v>691</v>
      </c>
      <c r="H685" s="4">
        <v>67452005</v>
      </c>
      <c r="I685" s="3">
        <v>0.50217999999999996</v>
      </c>
      <c r="J685" s="3">
        <v>40.535566479522963</v>
      </c>
      <c r="K685" s="3">
        <v>61.639074859943968</v>
      </c>
    </row>
    <row r="686" spans="1:11" x14ac:dyDescent="0.2">
      <c r="A686" s="2" t="s">
        <v>73</v>
      </c>
      <c r="B686" s="2" t="s">
        <v>74</v>
      </c>
      <c r="C686" s="3">
        <v>2002</v>
      </c>
      <c r="D686" s="3">
        <v>12583.04499042397</v>
      </c>
      <c r="E686" s="3">
        <v>-0.61670082807540905</v>
      </c>
      <c r="F686" s="3">
        <v>4.4848799705505398</v>
      </c>
      <c r="G686" s="3">
        <v>910</v>
      </c>
      <c r="H686" s="4">
        <v>68011317</v>
      </c>
      <c r="I686" s="3">
        <v>0.49558000000000002</v>
      </c>
      <c r="J686" s="3">
        <v>48.172686552065677</v>
      </c>
      <c r="K686" s="3">
        <v>62.335034920634918</v>
      </c>
    </row>
    <row r="687" spans="1:11" x14ac:dyDescent="0.2">
      <c r="A687" s="2" t="s">
        <v>73</v>
      </c>
      <c r="B687" s="2" t="s">
        <v>74</v>
      </c>
      <c r="C687" s="3">
        <v>2003</v>
      </c>
      <c r="D687" s="3">
        <v>13519.45019269295</v>
      </c>
      <c r="E687" s="3">
        <v>-0.56539255380630504</v>
      </c>
      <c r="F687" s="3">
        <v>4.36322021484375</v>
      </c>
      <c r="G687" s="3">
        <v>1287</v>
      </c>
      <c r="H687" s="4">
        <v>68769340</v>
      </c>
      <c r="I687" s="3">
        <v>0.59484000000000004</v>
      </c>
      <c r="J687" s="3">
        <v>50.679105775326128</v>
      </c>
      <c r="K687" s="3">
        <v>62.450548342670402</v>
      </c>
    </row>
    <row r="688" spans="1:11" x14ac:dyDescent="0.2">
      <c r="A688" s="2" t="s">
        <v>73</v>
      </c>
      <c r="B688" s="2" t="s">
        <v>74</v>
      </c>
      <c r="C688" s="3">
        <v>2004</v>
      </c>
      <c r="D688" s="3">
        <v>13807.195311402351</v>
      </c>
      <c r="E688" s="3">
        <v>-0.50129687786102295</v>
      </c>
      <c r="F688" s="3">
        <v>4.29662990570068</v>
      </c>
      <c r="G688" s="3">
        <v>2426</v>
      </c>
      <c r="H688" s="4">
        <v>70256316</v>
      </c>
      <c r="I688" s="3">
        <v>0.50453000000000003</v>
      </c>
      <c r="J688" s="3">
        <v>51.313857326588838</v>
      </c>
      <c r="K688" s="3">
        <v>62.765366853408032</v>
      </c>
    </row>
    <row r="689" spans="1:11" x14ac:dyDescent="0.2">
      <c r="A689" s="2" t="s">
        <v>73</v>
      </c>
      <c r="B689" s="2" t="s">
        <v>74</v>
      </c>
      <c r="C689" s="3">
        <v>2005</v>
      </c>
      <c r="D689" s="3">
        <v>13935.774308759561</v>
      </c>
      <c r="E689" s="3">
        <v>-0.662730693817139</v>
      </c>
      <c r="F689" s="3">
        <v>4.0565099716186497</v>
      </c>
      <c r="G689" s="3">
        <v>4051</v>
      </c>
      <c r="H689" s="4">
        <v>71828455</v>
      </c>
      <c r="I689" s="3">
        <v>0.62283999999999995</v>
      </c>
      <c r="J689" s="3">
        <v>54.440495263553643</v>
      </c>
      <c r="K689" s="3">
        <v>63.304981512605039</v>
      </c>
    </row>
    <row r="690" spans="1:11" x14ac:dyDescent="0.2">
      <c r="A690" s="2" t="s">
        <v>73</v>
      </c>
      <c r="B690" s="2" t="s">
        <v>74</v>
      </c>
      <c r="C690" s="3">
        <v>2006</v>
      </c>
      <c r="D690" s="3">
        <v>14320.656853454549</v>
      </c>
      <c r="E690" s="3">
        <v>-0.55535453557968095</v>
      </c>
      <c r="F690" s="3">
        <v>4.2899899482727104</v>
      </c>
      <c r="G690" s="3">
        <v>5970</v>
      </c>
      <c r="H690" s="4">
        <v>73392747</v>
      </c>
      <c r="I690" s="3">
        <v>0.55920999999999998</v>
      </c>
      <c r="J690" s="3">
        <v>53.16735871438452</v>
      </c>
      <c r="K690" s="3">
        <v>62.86618527077497</v>
      </c>
    </row>
    <row r="691" spans="1:11" x14ac:dyDescent="0.2">
      <c r="A691" s="2" t="s">
        <v>73</v>
      </c>
      <c r="B691" s="2" t="s">
        <v>74</v>
      </c>
      <c r="C691" s="3">
        <v>2007</v>
      </c>
      <c r="D691" s="3">
        <v>15237.423785054951</v>
      </c>
      <c r="E691" s="3">
        <v>-0.64890956878662098</v>
      </c>
      <c r="F691" s="3">
        <v>4.5968098640441903</v>
      </c>
      <c r="G691" s="3">
        <v>10648</v>
      </c>
      <c r="H691" s="4">
        <v>74602648</v>
      </c>
      <c r="I691" s="2"/>
      <c r="J691" s="3">
        <v>49.887306922593403</v>
      </c>
      <c r="K691" s="3">
        <v>63.016971031746031</v>
      </c>
    </row>
    <row r="692" spans="1:11" x14ac:dyDescent="0.2">
      <c r="A692" s="2" t="s">
        <v>73</v>
      </c>
      <c r="B692" s="2" t="s">
        <v>74</v>
      </c>
      <c r="C692" s="3">
        <v>2008</v>
      </c>
      <c r="D692" s="3">
        <v>15091.250652146269</v>
      </c>
      <c r="E692" s="3">
        <v>-0.68282175064086903</v>
      </c>
      <c r="F692" s="3">
        <v>3.9137599468231201</v>
      </c>
      <c r="G692" s="3">
        <v>15403</v>
      </c>
      <c r="H692" s="4">
        <v>75514204</v>
      </c>
      <c r="I692" s="3">
        <v>0.64646999999999999</v>
      </c>
      <c r="J692" s="3">
        <v>48.22940277414385</v>
      </c>
      <c r="K692" s="3">
        <v>62.933080975723627</v>
      </c>
    </row>
    <row r="693" spans="1:11" x14ac:dyDescent="0.2">
      <c r="A693" s="2" t="s">
        <v>73</v>
      </c>
      <c r="B693" s="2" t="s">
        <v>74</v>
      </c>
      <c r="C693" s="3">
        <v>2009</v>
      </c>
      <c r="D693" s="3">
        <v>15055.14946471992</v>
      </c>
      <c r="E693" s="3">
        <v>-0.577192842960358</v>
      </c>
      <c r="F693" s="3">
        <v>3.8424499034881601</v>
      </c>
      <c r="G693" s="3">
        <v>12184</v>
      </c>
      <c r="H693" s="4">
        <v>76457825</v>
      </c>
      <c r="I693" s="3">
        <v>0.27257999999999999</v>
      </c>
      <c r="J693" s="3">
        <v>43.699580224358463</v>
      </c>
      <c r="K693" s="3">
        <v>63.736492296918762</v>
      </c>
    </row>
    <row r="694" spans="1:11" x14ac:dyDescent="0.2">
      <c r="A694" s="2" t="s">
        <v>73</v>
      </c>
      <c r="B694" s="2" t="s">
        <v>74</v>
      </c>
      <c r="C694" s="3">
        <v>2010</v>
      </c>
      <c r="D694" s="3">
        <v>15729.913170726581</v>
      </c>
      <c r="E694" s="3">
        <v>-0.49773833155632002</v>
      </c>
      <c r="F694" s="3">
        <v>3.7091801166534402</v>
      </c>
      <c r="G694" s="3">
        <v>11108</v>
      </c>
      <c r="H694" s="4">
        <v>77420842</v>
      </c>
      <c r="I694" s="3">
        <v>0.26441999999999999</v>
      </c>
      <c r="J694" s="3">
        <v>43.770643737139928</v>
      </c>
      <c r="K694" s="3">
        <v>64.006342320261439</v>
      </c>
    </row>
    <row r="695" spans="1:11" x14ac:dyDescent="0.2">
      <c r="A695" s="2" t="s">
        <v>73</v>
      </c>
      <c r="B695" s="2" t="s">
        <v>74</v>
      </c>
      <c r="C695" s="3">
        <v>2011</v>
      </c>
      <c r="D695" s="3">
        <v>15947.766097961039</v>
      </c>
      <c r="E695" s="3">
        <v>-0.45271468162536599</v>
      </c>
      <c r="F695" s="3">
        <v>3.4849700927734402</v>
      </c>
      <c r="G695" s="3">
        <v>11529</v>
      </c>
      <c r="H695" s="4">
        <v>78383598</v>
      </c>
      <c r="I695" s="2"/>
      <c r="J695" s="3">
        <v>41.219414791857808</v>
      </c>
      <c r="K695" s="3">
        <v>66.260062044817928</v>
      </c>
    </row>
    <row r="696" spans="1:11" x14ac:dyDescent="0.2">
      <c r="A696" s="2" t="s">
        <v>73</v>
      </c>
      <c r="B696" s="2" t="s">
        <v>74</v>
      </c>
      <c r="C696" s="3">
        <v>2012</v>
      </c>
      <c r="D696" s="3">
        <v>15159.294820653089</v>
      </c>
      <c r="E696" s="3">
        <v>-0.54204142093658403</v>
      </c>
      <c r="F696" s="3">
        <v>2.9389998912811302</v>
      </c>
      <c r="G696" s="3">
        <v>10622</v>
      </c>
      <c r="H696" s="4">
        <v>79370580</v>
      </c>
      <c r="I696" s="3">
        <v>0.29435</v>
      </c>
      <c r="J696" s="3">
        <v>44.089346680745187</v>
      </c>
      <c r="K696" s="3">
        <v>66.235953454715215</v>
      </c>
    </row>
    <row r="697" spans="1:11" x14ac:dyDescent="0.2">
      <c r="A697" s="2" t="s">
        <v>73</v>
      </c>
      <c r="B697" s="2" t="s">
        <v>74</v>
      </c>
      <c r="C697" s="3">
        <v>2013</v>
      </c>
      <c r="D697" s="3">
        <v>14734.740588718971</v>
      </c>
      <c r="E697" s="3">
        <v>-0.69002634286880504</v>
      </c>
      <c r="F697" s="3">
        <v>2.8527901172637899</v>
      </c>
      <c r="G697" s="3">
        <v>11305</v>
      </c>
      <c r="H697" s="4">
        <v>80414686</v>
      </c>
      <c r="I697" s="3">
        <v>0.23601</v>
      </c>
      <c r="J697" s="3">
        <v>47.08671791947549</v>
      </c>
      <c r="K697" s="3">
        <v>66.102032796451908</v>
      </c>
    </row>
    <row r="698" spans="1:11" x14ac:dyDescent="0.2">
      <c r="A698" s="2" t="s">
        <v>73</v>
      </c>
      <c r="B698" s="2" t="s">
        <v>74</v>
      </c>
      <c r="C698" s="3">
        <v>2014</v>
      </c>
      <c r="D698" s="3">
        <v>15262.85157609033</v>
      </c>
      <c r="E698" s="3">
        <v>-0.43845731019973799</v>
      </c>
      <c r="F698" s="3">
        <v>2.6166899204254199</v>
      </c>
      <c r="G698" s="3">
        <v>13683</v>
      </c>
      <c r="H698" s="4">
        <v>81502045</v>
      </c>
      <c r="I698" s="2"/>
      <c r="J698" s="3">
        <v>45.351420141316119</v>
      </c>
      <c r="K698" s="3">
        <v>66.961568510737635</v>
      </c>
    </row>
    <row r="699" spans="1:11" x14ac:dyDescent="0.2">
      <c r="A699" s="2" t="s">
        <v>73</v>
      </c>
      <c r="B699" s="2" t="s">
        <v>74</v>
      </c>
      <c r="C699" s="3">
        <v>2015</v>
      </c>
      <c r="D699" s="3">
        <v>14841.90483407369</v>
      </c>
      <c r="E699" s="3">
        <v>-0.253069669008255</v>
      </c>
      <c r="F699" s="3">
        <v>2.6291100978851301</v>
      </c>
      <c r="G699" s="2"/>
      <c r="H699" s="4">
        <v>82619362</v>
      </c>
      <c r="I699" s="3">
        <v>0.39383000000000001</v>
      </c>
      <c r="J699" s="3">
        <v>39.422588661179958</v>
      </c>
      <c r="K699" s="3">
        <v>67.47067609710551</v>
      </c>
    </row>
    <row r="700" spans="1:11" x14ac:dyDescent="0.2">
      <c r="A700" s="2" t="s">
        <v>73</v>
      </c>
      <c r="B700" s="2" t="s">
        <v>74</v>
      </c>
      <c r="C700" s="3">
        <v>2016</v>
      </c>
      <c r="D700" s="3">
        <v>15920.371802120229</v>
      </c>
      <c r="E700" s="3">
        <v>-0.23750552535057101</v>
      </c>
      <c r="F700" s="3">
        <v>3.1739699840545601</v>
      </c>
      <c r="G700" s="3">
        <v>14930</v>
      </c>
      <c r="H700" s="4">
        <v>83812228</v>
      </c>
      <c r="I700" s="2"/>
      <c r="J700" s="3">
        <v>39.877241773886603</v>
      </c>
      <c r="K700" s="3">
        <v>67.855533029878615</v>
      </c>
    </row>
    <row r="701" spans="1:11" x14ac:dyDescent="0.2">
      <c r="A701" s="2" t="s">
        <v>73</v>
      </c>
      <c r="B701" s="2" t="s">
        <v>74</v>
      </c>
      <c r="C701" s="3">
        <v>2017</v>
      </c>
      <c r="D701" s="3">
        <v>16167.967722422651</v>
      </c>
      <c r="E701" s="3">
        <v>-0.24199499189853699</v>
      </c>
      <c r="F701" s="3">
        <v>3.4595699310302699</v>
      </c>
      <c r="G701" s="3">
        <v>15264</v>
      </c>
      <c r="H701" s="4">
        <v>85026754</v>
      </c>
      <c r="I701" s="3">
        <v>0.75983000000000001</v>
      </c>
      <c r="J701" s="3">
        <v>43.155693138390617</v>
      </c>
      <c r="K701" s="3">
        <v>68.099198412698428</v>
      </c>
    </row>
    <row r="702" spans="1:11" x14ac:dyDescent="0.2">
      <c r="A702" s="2" t="s">
        <v>73</v>
      </c>
      <c r="B702" s="2" t="s">
        <v>74</v>
      </c>
      <c r="C702" s="3">
        <v>2018</v>
      </c>
      <c r="D702" s="3">
        <v>15364.80490526139</v>
      </c>
      <c r="E702" s="3">
        <v>-0.47861048579215998</v>
      </c>
      <c r="F702" s="3">
        <v>3.61979007720947</v>
      </c>
      <c r="G702" s="3">
        <v>11908</v>
      </c>
      <c r="H702" s="4">
        <v>86117998</v>
      </c>
      <c r="I702" s="2"/>
      <c r="J702" s="3">
        <v>56.615349614282948</v>
      </c>
      <c r="K702" s="3">
        <v>68.093300560224066</v>
      </c>
    </row>
    <row r="703" spans="1:11" x14ac:dyDescent="0.2">
      <c r="A703" s="2" t="s">
        <v>73</v>
      </c>
      <c r="B703" s="2" t="s">
        <v>74</v>
      </c>
      <c r="C703" s="3">
        <v>2019</v>
      </c>
      <c r="D703" s="3">
        <v>14841.07515149977</v>
      </c>
      <c r="E703" s="3">
        <v>-0.59958922863006603</v>
      </c>
      <c r="F703" s="3">
        <v>3.2400500774383501</v>
      </c>
      <c r="G703" s="3">
        <v>11569</v>
      </c>
      <c r="H703" s="4">
        <v>87051648</v>
      </c>
      <c r="I703" s="3">
        <v>0.78829000000000005</v>
      </c>
      <c r="J703" s="3">
        <v>48.591771213703787</v>
      </c>
      <c r="K703" s="3">
        <v>68.685157633053223</v>
      </c>
    </row>
    <row r="704" spans="1:11" x14ac:dyDescent="0.2">
      <c r="A704" s="2" t="s">
        <v>73</v>
      </c>
      <c r="B704" s="2" t="s">
        <v>74</v>
      </c>
      <c r="C704" s="3">
        <v>2020</v>
      </c>
      <c r="D704" s="3">
        <v>15381.58454372664</v>
      </c>
      <c r="E704" s="3">
        <v>-1.01759469509125</v>
      </c>
      <c r="F704" s="3">
        <v>3.2049500942230198</v>
      </c>
      <c r="G704" s="3">
        <v>11396</v>
      </c>
      <c r="H704" s="4">
        <v>87723443</v>
      </c>
      <c r="I704" s="2"/>
      <c r="J704" s="3">
        <v>43.884467490501287</v>
      </c>
      <c r="K704" s="3">
        <v>68.895445168067241</v>
      </c>
    </row>
    <row r="705" spans="1:11" x14ac:dyDescent="0.2">
      <c r="A705" s="2" t="s">
        <v>73</v>
      </c>
      <c r="B705" s="2" t="s">
        <v>74</v>
      </c>
      <c r="C705" s="3">
        <v>2021</v>
      </c>
      <c r="D705" s="3">
        <v>15884.42767759633</v>
      </c>
      <c r="E705" s="3">
        <v>-0.88705104589462302</v>
      </c>
      <c r="F705" s="2"/>
      <c r="G705" s="3">
        <v>10210</v>
      </c>
      <c r="H705" s="4">
        <v>88455488</v>
      </c>
      <c r="I705" s="3">
        <v>0.72665000000000002</v>
      </c>
      <c r="J705" s="3">
        <v>42.672379536260998</v>
      </c>
      <c r="K705" s="3">
        <v>69.341351283846862</v>
      </c>
    </row>
    <row r="706" spans="1:11" x14ac:dyDescent="0.2">
      <c r="A706" s="2" t="s">
        <v>75</v>
      </c>
      <c r="B706" s="2" t="s">
        <v>76</v>
      </c>
      <c r="C706" s="3">
        <v>2000</v>
      </c>
      <c r="D706" s="3">
        <v>53675.005459693282</v>
      </c>
      <c r="E706" s="3">
        <v>1.5927329063415501</v>
      </c>
      <c r="F706" s="3">
        <v>4.1322598457336399</v>
      </c>
      <c r="G706" s="2"/>
      <c r="H706" s="4">
        <v>3805174</v>
      </c>
      <c r="I706" s="3">
        <v>1.0838300000000001</v>
      </c>
      <c r="J706" s="3">
        <v>174.95451807128691</v>
      </c>
      <c r="K706" s="3">
        <v>74.350649681690868</v>
      </c>
    </row>
    <row r="707" spans="1:11" x14ac:dyDescent="0.2">
      <c r="A707" s="2" t="s">
        <v>75</v>
      </c>
      <c r="B707" s="2" t="s">
        <v>76</v>
      </c>
      <c r="C707" s="3">
        <v>2001</v>
      </c>
      <c r="D707" s="3">
        <v>55630.10132734412</v>
      </c>
      <c r="E707" s="2"/>
      <c r="F707" s="3">
        <v>4.0874900817871103</v>
      </c>
      <c r="G707" s="2"/>
      <c r="H707" s="4">
        <v>3866243</v>
      </c>
      <c r="I707" s="3">
        <v>1.0519400000000001</v>
      </c>
      <c r="J707" s="3">
        <v>174.84071110187051</v>
      </c>
      <c r="K707" s="3">
        <v>74.374296343689011</v>
      </c>
    </row>
    <row r="708" spans="1:11" x14ac:dyDescent="0.2">
      <c r="A708" s="2" t="s">
        <v>75</v>
      </c>
      <c r="B708" s="2" t="s">
        <v>76</v>
      </c>
      <c r="C708" s="3">
        <v>2002</v>
      </c>
      <c r="D708" s="3">
        <v>57927.488372311047</v>
      </c>
      <c r="E708" s="3">
        <v>1.57149362564087</v>
      </c>
      <c r="F708" s="3">
        <v>4.10487985610962</v>
      </c>
      <c r="G708" s="2"/>
      <c r="H708" s="4">
        <v>3931947</v>
      </c>
      <c r="I708" s="3">
        <v>1.05575</v>
      </c>
      <c r="J708" s="3">
        <v>163.7193293596149</v>
      </c>
      <c r="K708" s="3">
        <v>74.620156156098801</v>
      </c>
    </row>
    <row r="709" spans="1:11" x14ac:dyDescent="0.2">
      <c r="A709" s="2" t="s">
        <v>75</v>
      </c>
      <c r="B709" s="2" t="s">
        <v>76</v>
      </c>
      <c r="C709" s="3">
        <v>2003</v>
      </c>
      <c r="D709" s="3">
        <v>58709.154446447479</v>
      </c>
      <c r="E709" s="3">
        <v>1.4965504407882699</v>
      </c>
      <c r="F709" s="3">
        <v>4.2049398422241202</v>
      </c>
      <c r="G709" s="2"/>
      <c r="H709" s="4">
        <v>3996521</v>
      </c>
      <c r="I709" s="3">
        <v>1.12435</v>
      </c>
      <c r="J709" s="3">
        <v>146.53147402127539</v>
      </c>
      <c r="K709" s="3">
        <v>74.807251551226543</v>
      </c>
    </row>
    <row r="710" spans="1:11" x14ac:dyDescent="0.2">
      <c r="A710" s="2" t="s">
        <v>75</v>
      </c>
      <c r="B710" s="2" t="s">
        <v>76</v>
      </c>
      <c r="C710" s="3">
        <v>2004</v>
      </c>
      <c r="D710" s="3">
        <v>61558.578314085193</v>
      </c>
      <c r="E710" s="3">
        <v>1.51924753189087</v>
      </c>
      <c r="F710" s="3">
        <v>4.4829602241516104</v>
      </c>
      <c r="G710" s="2"/>
      <c r="H710" s="4">
        <v>4070262</v>
      </c>
      <c r="I710" s="3">
        <v>1.17778</v>
      </c>
      <c r="J710" s="3">
        <v>146.58749637007119</v>
      </c>
      <c r="K710" s="3">
        <v>74.984368667770127</v>
      </c>
    </row>
    <row r="711" spans="1:11" x14ac:dyDescent="0.2">
      <c r="A711" s="2" t="s">
        <v>75</v>
      </c>
      <c r="B711" s="2" t="s">
        <v>76</v>
      </c>
      <c r="C711" s="3">
        <v>2005</v>
      </c>
      <c r="D711" s="3">
        <v>63689.08435307788</v>
      </c>
      <c r="E711" s="3">
        <v>1.73055720329285</v>
      </c>
      <c r="F711" s="3">
        <v>4.5189800262451199</v>
      </c>
      <c r="G711" s="2"/>
      <c r="H711" s="4">
        <v>4159914</v>
      </c>
      <c r="I711" s="3">
        <v>1.19197</v>
      </c>
      <c r="J711" s="3">
        <v>148.17556425312881</v>
      </c>
      <c r="K711" s="3">
        <v>75.081452357609706</v>
      </c>
    </row>
    <row r="712" spans="1:11" x14ac:dyDescent="0.2">
      <c r="A712" s="2" t="s">
        <v>75</v>
      </c>
      <c r="B712" s="2" t="s">
        <v>76</v>
      </c>
      <c r="C712" s="3">
        <v>2006</v>
      </c>
      <c r="D712" s="3">
        <v>65087.180463155943</v>
      </c>
      <c r="E712" s="3">
        <v>1.5316741466522199</v>
      </c>
      <c r="F712" s="3">
        <v>4.5474200248718297</v>
      </c>
      <c r="G712" s="2"/>
      <c r="H712" s="4">
        <v>4273591</v>
      </c>
      <c r="I712" s="3">
        <v>1.1988700000000001</v>
      </c>
      <c r="J712" s="3">
        <v>150.021785809265</v>
      </c>
      <c r="K712" s="3">
        <v>75.318801088617278</v>
      </c>
    </row>
    <row r="713" spans="1:11" x14ac:dyDescent="0.2">
      <c r="A713" s="2" t="s">
        <v>75</v>
      </c>
      <c r="B713" s="2" t="s">
        <v>76</v>
      </c>
      <c r="C713" s="3">
        <v>2007</v>
      </c>
      <c r="D713" s="3">
        <v>66590.193897345656</v>
      </c>
      <c r="E713" s="3">
        <v>1.55425381660461</v>
      </c>
      <c r="F713" s="3">
        <v>4.7154102325439498</v>
      </c>
      <c r="G713" s="2"/>
      <c r="H713" s="4">
        <v>4398942</v>
      </c>
      <c r="I713" s="3">
        <v>1.2340800000000001</v>
      </c>
      <c r="J713" s="3">
        <v>153.3968470680247</v>
      </c>
      <c r="K713" s="3">
        <v>75.821984778456823</v>
      </c>
    </row>
    <row r="714" spans="1:11" x14ac:dyDescent="0.2">
      <c r="A714" s="2" t="s">
        <v>75</v>
      </c>
      <c r="B714" s="2" t="s">
        <v>76</v>
      </c>
      <c r="C714" s="3">
        <v>2008</v>
      </c>
      <c r="D714" s="3">
        <v>62320.66630649002</v>
      </c>
      <c r="E714" s="3">
        <v>1.49149310588837</v>
      </c>
      <c r="F714" s="3">
        <v>5.4582800865173304</v>
      </c>
      <c r="G714" s="2"/>
      <c r="H714" s="4">
        <v>4489544</v>
      </c>
      <c r="I714" s="3">
        <v>1.3912599999999999</v>
      </c>
      <c r="J714" s="3">
        <v>160.03942013247411</v>
      </c>
      <c r="K714" s="3">
        <v>76.386246530430341</v>
      </c>
    </row>
    <row r="715" spans="1:11" x14ac:dyDescent="0.2">
      <c r="A715" s="2" t="s">
        <v>75</v>
      </c>
      <c r="B715" s="2" t="s">
        <v>76</v>
      </c>
      <c r="C715" s="3">
        <v>2009</v>
      </c>
      <c r="D715" s="3">
        <v>58547.267395610863</v>
      </c>
      <c r="E715" s="3">
        <v>1.3321880102157599</v>
      </c>
      <c r="F715" s="3">
        <v>6.1561098098754901</v>
      </c>
      <c r="G715" s="2"/>
      <c r="H715" s="4">
        <v>4535375</v>
      </c>
      <c r="I715" s="3">
        <v>1.61371</v>
      </c>
      <c r="J715" s="3">
        <v>173.59147487466549</v>
      </c>
      <c r="K715" s="3">
        <v>76.788980235124356</v>
      </c>
    </row>
    <row r="716" spans="1:11" x14ac:dyDescent="0.2">
      <c r="A716" s="2" t="s">
        <v>75</v>
      </c>
      <c r="B716" s="2" t="s">
        <v>76</v>
      </c>
      <c r="C716" s="3">
        <v>2010</v>
      </c>
      <c r="D716" s="3">
        <v>59209.099676325117</v>
      </c>
      <c r="E716" s="3">
        <v>1.34430372714996</v>
      </c>
      <c r="F716" s="3">
        <v>6.0483698844909703</v>
      </c>
      <c r="G716" s="2"/>
      <c r="H716" s="4">
        <v>4560155</v>
      </c>
      <c r="I716" s="3">
        <v>1.59477</v>
      </c>
      <c r="J716" s="3">
        <v>190.0802727867198</v>
      </c>
      <c r="K716" s="3">
        <v>77.210285521178193</v>
      </c>
    </row>
    <row r="717" spans="1:11" x14ac:dyDescent="0.2">
      <c r="A717" s="2" t="s">
        <v>75</v>
      </c>
      <c r="B717" s="2" t="s">
        <v>76</v>
      </c>
      <c r="C717" s="3">
        <v>2011</v>
      </c>
      <c r="D717" s="3">
        <v>59899.917652844037</v>
      </c>
      <c r="E717" s="3">
        <v>1.45015203952789</v>
      </c>
      <c r="F717" s="3">
        <v>5.7719998359680202</v>
      </c>
      <c r="G717" s="2"/>
      <c r="H717" s="4">
        <v>4580084</v>
      </c>
      <c r="I717" s="3">
        <v>1.5515300000000001</v>
      </c>
      <c r="J717" s="3">
        <v>186.30487917903849</v>
      </c>
      <c r="K717" s="3">
        <v>77.499576644597227</v>
      </c>
    </row>
    <row r="718" spans="1:11" x14ac:dyDescent="0.2">
      <c r="A718" s="2" t="s">
        <v>75</v>
      </c>
      <c r="B718" s="2" t="s">
        <v>76</v>
      </c>
      <c r="C718" s="3">
        <v>2012</v>
      </c>
      <c r="D718" s="3">
        <v>59405.046075152422</v>
      </c>
      <c r="E718" s="3">
        <v>1.5390695333480799</v>
      </c>
      <c r="F718" s="3">
        <v>5.7077798843383798</v>
      </c>
      <c r="G718" s="2"/>
      <c r="H718" s="4">
        <v>4599533</v>
      </c>
      <c r="I718" s="3">
        <v>1.5602799999999999</v>
      </c>
      <c r="J718" s="3">
        <v>190.3556823179847</v>
      </c>
      <c r="K718" s="3">
        <v>77.683457393260326</v>
      </c>
    </row>
    <row r="719" spans="1:11" x14ac:dyDescent="0.2">
      <c r="A719" s="2" t="s">
        <v>75</v>
      </c>
      <c r="B719" s="2" t="s">
        <v>76</v>
      </c>
      <c r="C719" s="3">
        <v>2013</v>
      </c>
      <c r="D719" s="3">
        <v>60388.941314798591</v>
      </c>
      <c r="E719" s="3">
        <v>1.5040428638458301</v>
      </c>
      <c r="F719" s="3">
        <v>5.2317700386047399</v>
      </c>
      <c r="G719" s="2"/>
      <c r="H719" s="4">
        <v>4623816</v>
      </c>
      <c r="I719" s="3">
        <v>1.56908</v>
      </c>
      <c r="J719" s="3">
        <v>199.74258622444631</v>
      </c>
      <c r="K719" s="3">
        <v>77.99759442110178</v>
      </c>
    </row>
    <row r="720" spans="1:11" x14ac:dyDescent="0.2">
      <c r="A720" s="2" t="s">
        <v>75</v>
      </c>
      <c r="B720" s="2" t="s">
        <v>76</v>
      </c>
      <c r="C720" s="3">
        <v>2014</v>
      </c>
      <c r="D720" s="3">
        <v>65575.806166579292</v>
      </c>
      <c r="E720" s="3">
        <v>1.59883308410645</v>
      </c>
      <c r="F720" s="3">
        <v>4.7355499267578098</v>
      </c>
      <c r="G720" s="2"/>
      <c r="H720" s="4">
        <v>4657740</v>
      </c>
      <c r="I720" s="3">
        <v>1.5179800000000001</v>
      </c>
      <c r="J720" s="3">
        <v>211.1816020020851</v>
      </c>
      <c r="K720" s="3">
        <v>78.373810207113152</v>
      </c>
    </row>
    <row r="721" spans="1:11" x14ac:dyDescent="0.2">
      <c r="A721" s="2" t="s">
        <v>75</v>
      </c>
      <c r="B721" s="2" t="s">
        <v>76</v>
      </c>
      <c r="C721" s="3">
        <v>2015</v>
      </c>
      <c r="D721" s="3">
        <v>80954.661981825469</v>
      </c>
      <c r="E721" s="3">
        <v>1.52084052562714</v>
      </c>
      <c r="F721" s="3">
        <v>3.6243801116943399</v>
      </c>
      <c r="G721" s="2"/>
      <c r="H721" s="4">
        <v>4701957</v>
      </c>
      <c r="I721" s="3">
        <v>1.17974</v>
      </c>
      <c r="J721" s="3">
        <v>223.70293829064201</v>
      </c>
      <c r="K721" s="3">
        <v>78.122007021899677</v>
      </c>
    </row>
    <row r="722" spans="1:11" x14ac:dyDescent="0.2">
      <c r="A722" s="2" t="s">
        <v>75</v>
      </c>
      <c r="B722" s="2" t="s">
        <v>76</v>
      </c>
      <c r="C722" s="3">
        <v>2016</v>
      </c>
      <c r="D722" s="3">
        <v>80899.022320722666</v>
      </c>
      <c r="E722" s="3">
        <v>1.32955777645111</v>
      </c>
      <c r="F722" s="3">
        <v>3.6588299274444598</v>
      </c>
      <c r="G722" s="3">
        <v>79</v>
      </c>
      <c r="H722" s="4">
        <v>4762722</v>
      </c>
      <c r="I722" s="3">
        <v>1.17716</v>
      </c>
      <c r="J722" s="3">
        <v>239.70852779876839</v>
      </c>
      <c r="K722" s="3">
        <v>77.358524893896956</v>
      </c>
    </row>
    <row r="723" spans="1:11" x14ac:dyDescent="0.2">
      <c r="A723" s="2" t="s">
        <v>75</v>
      </c>
      <c r="B723" s="2" t="s">
        <v>76</v>
      </c>
      <c r="C723" s="3">
        <v>2017</v>
      </c>
      <c r="D723" s="3">
        <v>87882.707435502409</v>
      </c>
      <c r="E723" s="3">
        <v>1.26728880405426</v>
      </c>
      <c r="F723" s="3">
        <v>3.37737989425659</v>
      </c>
      <c r="G723" s="3">
        <v>62</v>
      </c>
      <c r="H723" s="4">
        <v>4827445</v>
      </c>
      <c r="I723" s="3">
        <v>1.2486600000000001</v>
      </c>
      <c r="J723" s="3">
        <v>233.30408334671111</v>
      </c>
      <c r="K723" s="3">
        <v>77.976011614039564</v>
      </c>
    </row>
    <row r="724" spans="1:11" x14ac:dyDescent="0.2">
      <c r="A724" s="2" t="s">
        <v>75</v>
      </c>
      <c r="B724" s="2" t="s">
        <v>76</v>
      </c>
      <c r="C724" s="3">
        <v>2018</v>
      </c>
      <c r="D724" s="3">
        <v>93276.018815401243</v>
      </c>
      <c r="E724" s="3">
        <v>1.3782430887222299</v>
      </c>
      <c r="F724" s="3">
        <v>3.3034799098968501</v>
      </c>
      <c r="G724" s="3">
        <v>76</v>
      </c>
      <c r="H724" s="4">
        <v>4898022</v>
      </c>
      <c r="I724" s="3">
        <v>1.1069800000000001</v>
      </c>
      <c r="J724" s="3">
        <v>222.4537160003992</v>
      </c>
      <c r="K724" s="3">
        <v>77.80512895764366</v>
      </c>
    </row>
    <row r="725" spans="1:11" x14ac:dyDescent="0.2">
      <c r="A725" s="2" t="s">
        <v>75</v>
      </c>
      <c r="B725" s="2" t="s">
        <v>76</v>
      </c>
      <c r="C725" s="3">
        <v>2019</v>
      </c>
      <c r="D725" s="3">
        <v>96371.291018018164</v>
      </c>
      <c r="E725" s="3">
        <v>1.2575615644455</v>
      </c>
      <c r="F725" s="3">
        <v>3.2298400402069101</v>
      </c>
      <c r="G725" s="3">
        <v>58</v>
      </c>
      <c r="H725" s="4">
        <v>4976456</v>
      </c>
      <c r="I725" s="3">
        <v>1.1606799999999999</v>
      </c>
      <c r="J725" s="3">
        <v>257.65277291042082</v>
      </c>
      <c r="K725" s="3">
        <v>76.926307947118232</v>
      </c>
    </row>
    <row r="726" spans="1:11" x14ac:dyDescent="0.2">
      <c r="A726" s="2" t="s">
        <v>75</v>
      </c>
      <c r="B726" s="2" t="s">
        <v>76</v>
      </c>
      <c r="C726" s="3">
        <v>2020</v>
      </c>
      <c r="D726" s="3">
        <v>101968.5543620112</v>
      </c>
      <c r="E726" s="3">
        <v>1.4352438449859599</v>
      </c>
      <c r="F726" s="3">
        <v>3.19163990020752</v>
      </c>
      <c r="G726" s="3">
        <v>75</v>
      </c>
      <c r="H726" s="4">
        <v>5039747</v>
      </c>
      <c r="I726" s="3">
        <v>1.14551</v>
      </c>
      <c r="J726" s="3">
        <v>258.78043702625212</v>
      </c>
      <c r="K726" s="3">
        <v>77.82380421016893</v>
      </c>
    </row>
    <row r="727" spans="1:11" x14ac:dyDescent="0.2">
      <c r="A727" s="2" t="s">
        <v>75</v>
      </c>
      <c r="B727" s="2" t="s">
        <v>76</v>
      </c>
      <c r="C727" s="3">
        <v>2021</v>
      </c>
      <c r="D727" s="3">
        <v>116903.6124351699</v>
      </c>
      <c r="E727" s="3">
        <v>1.4634253978729199</v>
      </c>
      <c r="F727" s="3">
        <v>2.904629945755</v>
      </c>
      <c r="G727" s="3">
        <v>75</v>
      </c>
      <c r="H727" s="4">
        <v>5110585</v>
      </c>
      <c r="I727" s="3">
        <v>1.1106499999999999</v>
      </c>
      <c r="J727" s="3">
        <v>231.032350863586</v>
      </c>
      <c r="K727" s="3">
        <v>78.154383672863105</v>
      </c>
    </row>
    <row r="728" spans="1:11" x14ac:dyDescent="0.2">
      <c r="A728" s="2" t="s">
        <v>77</v>
      </c>
      <c r="B728" s="2" t="s">
        <v>78</v>
      </c>
      <c r="C728" s="3">
        <v>2000</v>
      </c>
      <c r="D728" s="3">
        <v>33275.06316559777</v>
      </c>
      <c r="E728" s="3">
        <v>1.0553342103958101</v>
      </c>
      <c r="F728" s="3">
        <v>5.9436798095703098</v>
      </c>
      <c r="G728" s="3">
        <v>1599</v>
      </c>
      <c r="H728" s="4">
        <v>6289000</v>
      </c>
      <c r="I728" s="3">
        <v>3.8265199999999999</v>
      </c>
      <c r="J728" s="3">
        <v>68.346859036983403</v>
      </c>
      <c r="K728" s="3">
        <v>68.778996001221003</v>
      </c>
    </row>
    <row r="729" spans="1:11" x14ac:dyDescent="0.2">
      <c r="A729" s="2" t="s">
        <v>77</v>
      </c>
      <c r="B729" s="2" t="s">
        <v>78</v>
      </c>
      <c r="C729" s="3">
        <v>2001</v>
      </c>
      <c r="D729" s="3">
        <v>32590.228618076071</v>
      </c>
      <c r="E729" s="2"/>
      <c r="F729" s="3">
        <v>6.1938400268554696</v>
      </c>
      <c r="G729" s="3">
        <v>1248</v>
      </c>
      <c r="H729" s="4">
        <v>6439000</v>
      </c>
      <c r="I729" s="3">
        <v>4.0644</v>
      </c>
      <c r="J729" s="3">
        <v>62.139584755154978</v>
      </c>
      <c r="K729" s="3">
        <v>69.102139249802462</v>
      </c>
    </row>
    <row r="730" spans="1:11" x14ac:dyDescent="0.2">
      <c r="A730" s="2" t="s">
        <v>77</v>
      </c>
      <c r="B730" s="2" t="s">
        <v>78</v>
      </c>
      <c r="C730" s="3">
        <v>2002</v>
      </c>
      <c r="D730" s="3">
        <v>31897.584883270531</v>
      </c>
      <c r="E730" s="3">
        <v>1.03079378604889</v>
      </c>
      <c r="F730" s="3">
        <v>6.2630801200866699</v>
      </c>
      <c r="G730" s="3">
        <v>1213</v>
      </c>
      <c r="H730" s="4">
        <v>6570000</v>
      </c>
      <c r="I730" s="3">
        <v>4.0006399999999998</v>
      </c>
      <c r="J730" s="3">
        <v>65.471105414598156</v>
      </c>
      <c r="K730" s="3">
        <v>69.233592695539755</v>
      </c>
    </row>
    <row r="731" spans="1:11" x14ac:dyDescent="0.2">
      <c r="A731" s="2" t="s">
        <v>77</v>
      </c>
      <c r="B731" s="2" t="s">
        <v>78</v>
      </c>
      <c r="C731" s="3">
        <v>2003</v>
      </c>
      <c r="D731" s="3">
        <v>31780.779608098459</v>
      </c>
      <c r="E731" s="3">
        <v>1.1398668289184599</v>
      </c>
      <c r="F731" s="3">
        <v>6.1392498016357404</v>
      </c>
      <c r="G731" s="3">
        <v>1329</v>
      </c>
      <c r="H731" s="4">
        <v>6689700</v>
      </c>
      <c r="I731" s="3">
        <v>3.7645400000000002</v>
      </c>
      <c r="J731" s="3">
        <v>66.881750369850437</v>
      </c>
      <c r="K731" s="3">
        <v>69.779467023989071</v>
      </c>
    </row>
    <row r="732" spans="1:11" x14ac:dyDescent="0.2">
      <c r="A732" s="2" t="s">
        <v>77</v>
      </c>
      <c r="B732" s="2" t="s">
        <v>78</v>
      </c>
      <c r="C732" s="3">
        <v>2004</v>
      </c>
      <c r="D732" s="3">
        <v>32675.20806448628</v>
      </c>
      <c r="E732" s="3">
        <v>1.2419970035553001</v>
      </c>
      <c r="F732" s="3">
        <v>5.7565197944641104</v>
      </c>
      <c r="G732" s="3">
        <v>1544</v>
      </c>
      <c r="H732" s="4">
        <v>6809000</v>
      </c>
      <c r="I732" s="3">
        <v>3.7490299999999999</v>
      </c>
      <c r="J732" s="3">
        <v>74.973199526514676</v>
      </c>
      <c r="K732" s="3">
        <v>69.578081972276081</v>
      </c>
    </row>
    <row r="733" spans="1:11" x14ac:dyDescent="0.2">
      <c r="A733" s="2" t="s">
        <v>77</v>
      </c>
      <c r="B733" s="2" t="s">
        <v>78</v>
      </c>
      <c r="C733" s="3">
        <v>2005</v>
      </c>
      <c r="D733" s="3">
        <v>33512.890918554622</v>
      </c>
      <c r="E733" s="3">
        <v>1.0384598970413199</v>
      </c>
      <c r="F733" s="3">
        <v>5.58064985275269</v>
      </c>
      <c r="G733" s="3">
        <v>1669</v>
      </c>
      <c r="H733" s="4">
        <v>6930100</v>
      </c>
      <c r="I733" s="3">
        <v>3.9228200000000002</v>
      </c>
      <c r="J733" s="3">
        <v>78.324261376932512</v>
      </c>
      <c r="K733" s="3">
        <v>70.357170132155417</v>
      </c>
    </row>
    <row r="734" spans="1:11" x14ac:dyDescent="0.2">
      <c r="A734" s="2" t="s">
        <v>77</v>
      </c>
      <c r="B734" s="2" t="s">
        <v>78</v>
      </c>
      <c r="C734" s="3">
        <v>2006</v>
      </c>
      <c r="D734" s="3">
        <v>34770.026278633632</v>
      </c>
      <c r="E734" s="3">
        <v>1.24783563613892</v>
      </c>
      <c r="F734" s="3">
        <v>5.5903401374816903</v>
      </c>
      <c r="G734" s="3">
        <v>1342</v>
      </c>
      <c r="H734" s="4">
        <v>7053700</v>
      </c>
      <c r="I734" s="3">
        <v>4.0199800000000003</v>
      </c>
      <c r="J734" s="3">
        <v>78.435288971846319</v>
      </c>
      <c r="K734" s="3">
        <v>70.30227038353803</v>
      </c>
    </row>
    <row r="735" spans="1:11" x14ac:dyDescent="0.2">
      <c r="A735" s="2" t="s">
        <v>77</v>
      </c>
      <c r="B735" s="2" t="s">
        <v>78</v>
      </c>
      <c r="C735" s="3">
        <v>2007</v>
      </c>
      <c r="D735" s="3">
        <v>36317.852509007127</v>
      </c>
      <c r="E735" s="3">
        <v>1.23067355155945</v>
      </c>
      <c r="F735" s="3">
        <v>5.3494501113891602</v>
      </c>
      <c r="G735" s="3">
        <v>1615</v>
      </c>
      <c r="H735" s="4">
        <v>7180100</v>
      </c>
      <c r="I735" s="3">
        <v>4.2999799999999997</v>
      </c>
      <c r="J735" s="3">
        <v>78.837106299662764</v>
      </c>
      <c r="K735" s="3">
        <v>70.527443130072569</v>
      </c>
    </row>
    <row r="736" spans="1:11" x14ac:dyDescent="0.2">
      <c r="A736" s="2" t="s">
        <v>77</v>
      </c>
      <c r="B736" s="2" t="s">
        <v>78</v>
      </c>
      <c r="C736" s="3">
        <v>2008</v>
      </c>
      <c r="D736" s="3">
        <v>36827.924915606367</v>
      </c>
      <c r="E736" s="3">
        <v>1.32564425468445</v>
      </c>
      <c r="F736" s="3">
        <v>5.4238200187683097</v>
      </c>
      <c r="G736" s="3">
        <v>1528</v>
      </c>
      <c r="H736" s="4">
        <v>7308800</v>
      </c>
      <c r="I736" s="3">
        <v>4.2551199999999998</v>
      </c>
      <c r="J736" s="3">
        <v>75.380922305658018</v>
      </c>
      <c r="K736" s="3">
        <v>70.536029754722406</v>
      </c>
    </row>
    <row r="737" spans="1:11" x14ac:dyDescent="0.2">
      <c r="A737" s="2" t="s">
        <v>77</v>
      </c>
      <c r="B737" s="2" t="s">
        <v>78</v>
      </c>
      <c r="C737" s="3">
        <v>2009</v>
      </c>
      <c r="D737" s="3">
        <v>36403.162637160203</v>
      </c>
      <c r="E737" s="3">
        <v>1.27143526077271</v>
      </c>
      <c r="F737" s="3">
        <v>5.3656101226806596</v>
      </c>
      <c r="G737" s="3">
        <v>1387</v>
      </c>
      <c r="H737" s="4">
        <v>7485600</v>
      </c>
      <c r="I737" s="3">
        <v>4.0451600000000001</v>
      </c>
      <c r="J737" s="3">
        <v>61.675647963969993</v>
      </c>
      <c r="K737" s="3">
        <v>71.197744079939667</v>
      </c>
    </row>
    <row r="738" spans="1:11" x14ac:dyDescent="0.2">
      <c r="A738" s="2" t="s">
        <v>77</v>
      </c>
      <c r="B738" s="2" t="s">
        <v>78</v>
      </c>
      <c r="C738" s="3">
        <v>2010</v>
      </c>
      <c r="D738" s="3">
        <v>37722.409986983628</v>
      </c>
      <c r="E738" s="3">
        <v>1.3862290382385301</v>
      </c>
      <c r="F738" s="3">
        <v>5.4214301109314</v>
      </c>
      <c r="G738" s="3">
        <v>1450</v>
      </c>
      <c r="H738" s="4">
        <v>7623600</v>
      </c>
      <c r="I738" s="3">
        <v>3.8632900000000001</v>
      </c>
      <c r="J738" s="3">
        <v>65.633079868915289</v>
      </c>
      <c r="K738" s="3">
        <v>71.464955855419106</v>
      </c>
    </row>
    <row r="739" spans="1:11" x14ac:dyDescent="0.2">
      <c r="A739" s="2" t="s">
        <v>77</v>
      </c>
      <c r="B739" s="2" t="s">
        <v>78</v>
      </c>
      <c r="C739" s="3">
        <v>2011</v>
      </c>
      <c r="D739" s="3">
        <v>39075.375376272023</v>
      </c>
      <c r="E739" s="3">
        <v>1.33679676055908</v>
      </c>
      <c r="F739" s="3">
        <v>5.4432702064514196</v>
      </c>
      <c r="G739" s="3">
        <v>1360</v>
      </c>
      <c r="H739" s="4">
        <v>7765800</v>
      </c>
      <c r="I739" s="3">
        <v>3.9352100000000001</v>
      </c>
      <c r="J739" s="3">
        <v>68.909437849737429</v>
      </c>
      <c r="K739" s="3">
        <v>71.943731611362509</v>
      </c>
    </row>
    <row r="740" spans="1:11" x14ac:dyDescent="0.2">
      <c r="A740" s="2" t="s">
        <v>77</v>
      </c>
      <c r="B740" s="2" t="s">
        <v>78</v>
      </c>
      <c r="C740" s="3">
        <v>2012</v>
      </c>
      <c r="D740" s="3">
        <v>39299.35155065461</v>
      </c>
      <c r="E740" s="3">
        <v>1.2698116302490201</v>
      </c>
      <c r="F740" s="3">
        <v>5.5754199028015101</v>
      </c>
      <c r="G740" s="3">
        <v>1319</v>
      </c>
      <c r="H740" s="4">
        <v>7910500</v>
      </c>
      <c r="I740" s="3">
        <v>4.0805199999999999</v>
      </c>
      <c r="J740" s="3">
        <v>69.965025082704273</v>
      </c>
      <c r="K740" s="3">
        <v>71.934372672915316</v>
      </c>
    </row>
    <row r="741" spans="1:11" x14ac:dyDescent="0.2">
      <c r="A741" s="2" t="s">
        <v>77</v>
      </c>
      <c r="B741" s="2" t="s">
        <v>78</v>
      </c>
      <c r="C741" s="3">
        <v>2013</v>
      </c>
      <c r="D741" s="3">
        <v>40148.777449286739</v>
      </c>
      <c r="E741" s="3">
        <v>1.24306440353394</v>
      </c>
      <c r="F741" s="3">
        <v>5.7860698699951199</v>
      </c>
      <c r="G741" s="3">
        <v>1201</v>
      </c>
      <c r="H741" s="4">
        <v>8059500</v>
      </c>
      <c r="I741" s="3">
        <v>4.1167800000000003</v>
      </c>
      <c r="J741" s="3">
        <v>64.134051129350098</v>
      </c>
      <c r="K741" s="3">
        <v>72.571813985850781</v>
      </c>
    </row>
    <row r="742" spans="1:11" x14ac:dyDescent="0.2">
      <c r="A742" s="2" t="s">
        <v>77</v>
      </c>
      <c r="B742" s="2" t="s">
        <v>78</v>
      </c>
      <c r="C742" s="3">
        <v>2014</v>
      </c>
      <c r="D742" s="3">
        <v>40872.5808449627</v>
      </c>
      <c r="E742" s="3">
        <v>1.2061796188354501</v>
      </c>
      <c r="F742" s="3">
        <v>5.7090702056884801</v>
      </c>
      <c r="G742" s="3">
        <v>1125</v>
      </c>
      <c r="H742" s="4">
        <v>8215700</v>
      </c>
      <c r="I742" s="3">
        <v>4.2053099999999999</v>
      </c>
      <c r="J742" s="3">
        <v>61.713354116000197</v>
      </c>
      <c r="K742" s="3">
        <v>72.695851305393987</v>
      </c>
    </row>
    <row r="743" spans="1:11" x14ac:dyDescent="0.2">
      <c r="A743" s="2" t="s">
        <v>77</v>
      </c>
      <c r="B743" s="2" t="s">
        <v>78</v>
      </c>
      <c r="C743" s="3">
        <v>2015</v>
      </c>
      <c r="D743" s="3">
        <v>40967.370759663732</v>
      </c>
      <c r="E743" s="3">
        <v>1.35655665397644</v>
      </c>
      <c r="F743" s="3">
        <v>5.8109102249145499</v>
      </c>
      <c r="G743" s="3">
        <v>1285</v>
      </c>
      <c r="H743" s="4">
        <v>8380100</v>
      </c>
      <c r="I743" s="3">
        <v>4.2984099999999996</v>
      </c>
      <c r="J743" s="3">
        <v>58.897971915566004</v>
      </c>
      <c r="K743" s="3">
        <v>73.196250680528621</v>
      </c>
    </row>
    <row r="744" spans="1:11" x14ac:dyDescent="0.2">
      <c r="A744" s="2" t="s">
        <v>77</v>
      </c>
      <c r="B744" s="2" t="s">
        <v>78</v>
      </c>
      <c r="C744" s="3">
        <v>2016</v>
      </c>
      <c r="D744" s="3">
        <v>41963.675796165007</v>
      </c>
      <c r="E744" s="3">
        <v>1.3095558881759599</v>
      </c>
      <c r="F744" s="3">
        <v>5.8204798698425302</v>
      </c>
      <c r="G744" s="3">
        <v>1300</v>
      </c>
      <c r="H744" s="4">
        <v>8546000</v>
      </c>
      <c r="I744" s="3">
        <v>4.5882199999999997</v>
      </c>
      <c r="J744" s="3">
        <v>57.799031685078297</v>
      </c>
      <c r="K744" s="3">
        <v>73.910183331537738</v>
      </c>
    </row>
    <row r="745" spans="1:11" x14ac:dyDescent="0.2">
      <c r="A745" s="2" t="s">
        <v>77</v>
      </c>
      <c r="B745" s="2" t="s">
        <v>78</v>
      </c>
      <c r="C745" s="3">
        <v>2017</v>
      </c>
      <c r="D745" s="3">
        <v>42947.058668698402</v>
      </c>
      <c r="E745" s="3">
        <v>1.34878790378571</v>
      </c>
      <c r="F745" s="3">
        <v>6.0248498916626003</v>
      </c>
      <c r="G745" s="3">
        <v>1436</v>
      </c>
      <c r="H745" s="4">
        <v>8713300</v>
      </c>
      <c r="I745" s="3">
        <v>4.7430599999999998</v>
      </c>
      <c r="J745" s="3">
        <v>56.280114254092403</v>
      </c>
      <c r="K745" s="3">
        <v>74.075299411046473</v>
      </c>
    </row>
    <row r="746" spans="1:11" x14ac:dyDescent="0.2">
      <c r="A746" s="2" t="s">
        <v>77</v>
      </c>
      <c r="B746" s="2" t="s">
        <v>78</v>
      </c>
      <c r="C746" s="3">
        <v>2018</v>
      </c>
      <c r="D746" s="3">
        <v>43814.294997796467</v>
      </c>
      <c r="E746" s="3">
        <v>1.1692541837692301</v>
      </c>
      <c r="F746" s="3">
        <v>6.0877699851989702</v>
      </c>
      <c r="G746" s="3">
        <v>1506</v>
      </c>
      <c r="H746" s="4">
        <v>8882800</v>
      </c>
      <c r="I746" s="3">
        <v>4.9145099999999999</v>
      </c>
      <c r="J746" s="3">
        <v>58.743754238744849</v>
      </c>
      <c r="K746" s="3">
        <v>73.826620667241258</v>
      </c>
    </row>
    <row r="747" spans="1:11" x14ac:dyDescent="0.2">
      <c r="A747" s="2" t="s">
        <v>77</v>
      </c>
      <c r="B747" s="2" t="s">
        <v>78</v>
      </c>
      <c r="C747" s="3">
        <v>2019</v>
      </c>
      <c r="D747" s="3">
        <v>44580.807882571557</v>
      </c>
      <c r="E747" s="3">
        <v>1.28858661651611</v>
      </c>
      <c r="F747" s="3">
        <v>6.0840902328491202</v>
      </c>
      <c r="G747" s="3">
        <v>1368</v>
      </c>
      <c r="H747" s="4">
        <v>9054000</v>
      </c>
      <c r="I747" s="3">
        <v>5.3309899999999999</v>
      </c>
      <c r="J747" s="3">
        <v>56.325348642583997</v>
      </c>
      <c r="K747" s="3">
        <v>74.309068965021893</v>
      </c>
    </row>
    <row r="748" spans="1:11" x14ac:dyDescent="0.2">
      <c r="A748" s="2" t="s">
        <v>77</v>
      </c>
      <c r="B748" s="2" t="s">
        <v>78</v>
      </c>
      <c r="C748" s="3">
        <v>2020</v>
      </c>
      <c r="D748" s="3">
        <v>42915.941693972803</v>
      </c>
      <c r="E748" s="3">
        <v>1.0519632101059</v>
      </c>
      <c r="F748" s="3">
        <v>6.5030398368835396</v>
      </c>
      <c r="G748" s="3">
        <v>1642</v>
      </c>
      <c r="H748" s="4">
        <v>9215100</v>
      </c>
      <c r="I748" s="3">
        <v>5.7968099999999998</v>
      </c>
      <c r="J748" s="3">
        <v>51.236673792036591</v>
      </c>
      <c r="K748" s="3">
        <v>74.814930205415493</v>
      </c>
    </row>
    <row r="749" spans="1:11" x14ac:dyDescent="0.2">
      <c r="A749" s="2" t="s">
        <v>77</v>
      </c>
      <c r="B749" s="2" t="s">
        <v>78</v>
      </c>
      <c r="C749" s="3">
        <v>2021</v>
      </c>
      <c r="D749" s="3">
        <v>46162.082273024753</v>
      </c>
      <c r="E749" s="3">
        <v>1.2508021593093901</v>
      </c>
      <c r="F749" s="3">
        <v>6.16908979415894</v>
      </c>
      <c r="G749" s="3">
        <v>1592</v>
      </c>
      <c r="H749" s="4">
        <v>9371400</v>
      </c>
      <c r="I749" s="3">
        <v>5.7827599999999997</v>
      </c>
      <c r="J749" s="3">
        <v>54.901684200698632</v>
      </c>
      <c r="K749" s="3">
        <v>74.479993783667297</v>
      </c>
    </row>
    <row r="750" spans="1:11" x14ac:dyDescent="0.2">
      <c r="A750" s="2" t="s">
        <v>79</v>
      </c>
      <c r="B750" s="2" t="s">
        <v>80</v>
      </c>
      <c r="C750" s="3">
        <v>2000</v>
      </c>
      <c r="D750" s="3">
        <v>50353.420041543563</v>
      </c>
      <c r="E750" s="3">
        <v>0.72274261713027999</v>
      </c>
      <c r="F750" s="3">
        <v>4.2799401283264196</v>
      </c>
      <c r="G750" s="3">
        <v>7877</v>
      </c>
      <c r="H750" s="4">
        <v>56942108</v>
      </c>
      <c r="I750" s="3">
        <v>1.0036400000000001</v>
      </c>
      <c r="J750" s="3">
        <v>50.274731145563891</v>
      </c>
      <c r="K750" s="3">
        <v>72.626423658857462</v>
      </c>
    </row>
    <row r="751" spans="1:11" x14ac:dyDescent="0.2">
      <c r="A751" s="2" t="s">
        <v>79</v>
      </c>
      <c r="B751" s="2" t="s">
        <v>80</v>
      </c>
      <c r="C751" s="3">
        <v>2001</v>
      </c>
      <c r="D751" s="3">
        <v>51332.290443256737</v>
      </c>
      <c r="E751" s="2"/>
      <c r="F751" s="3">
        <v>4.6341500282287598</v>
      </c>
      <c r="G751" s="2"/>
      <c r="H751" s="4">
        <v>56976981</v>
      </c>
      <c r="I751" s="3">
        <v>1.0407</v>
      </c>
      <c r="J751" s="3">
        <v>49.86327232034953</v>
      </c>
      <c r="K751" s="3">
        <v>72.837695885323825</v>
      </c>
    </row>
    <row r="752" spans="1:11" x14ac:dyDescent="0.2">
      <c r="A752" s="2" t="s">
        <v>79</v>
      </c>
      <c r="B752" s="2" t="s">
        <v>80</v>
      </c>
      <c r="C752" s="3">
        <v>2002</v>
      </c>
      <c r="D752" s="3">
        <v>51369.114909829303</v>
      </c>
      <c r="E752" s="3">
        <v>0.75325542688369795</v>
      </c>
      <c r="F752" s="3">
        <v>4.41520023345947</v>
      </c>
      <c r="G752" s="2"/>
      <c r="H752" s="4">
        <v>57089824</v>
      </c>
      <c r="I752" s="3">
        <v>1.08124</v>
      </c>
      <c r="J752" s="3">
        <v>47.87131867915415</v>
      </c>
      <c r="K752" s="3">
        <v>72.942025150666339</v>
      </c>
    </row>
    <row r="753" spans="1:11" x14ac:dyDescent="0.2">
      <c r="A753" s="2" t="s">
        <v>79</v>
      </c>
      <c r="B753" s="2" t="s">
        <v>80</v>
      </c>
      <c r="C753" s="3">
        <v>2003</v>
      </c>
      <c r="D753" s="3">
        <v>51126.258554403837</v>
      </c>
      <c r="E753" s="3">
        <v>0.74386948347091697</v>
      </c>
      <c r="F753" s="3">
        <v>4.5265598297119096</v>
      </c>
      <c r="G753" s="2"/>
      <c r="H753" s="4">
        <v>57399184</v>
      </c>
      <c r="I753" s="3">
        <v>1.05894</v>
      </c>
      <c r="J753" s="3">
        <v>45.994085977707357</v>
      </c>
      <c r="K753" s="3">
        <v>73.032822559629906</v>
      </c>
    </row>
    <row r="754" spans="1:11" x14ac:dyDescent="0.2">
      <c r="A754" s="2" t="s">
        <v>79</v>
      </c>
      <c r="B754" s="2" t="s">
        <v>80</v>
      </c>
      <c r="C754" s="3">
        <v>2004</v>
      </c>
      <c r="D754" s="3">
        <v>51495.002884136367</v>
      </c>
      <c r="E754" s="3">
        <v>0.62818700075149503</v>
      </c>
      <c r="F754" s="3">
        <v>4.3700399398803702</v>
      </c>
      <c r="G754" s="2"/>
      <c r="H754" s="4">
        <v>57828179</v>
      </c>
      <c r="I754" s="3">
        <v>1.0502499999999999</v>
      </c>
      <c r="J754" s="3">
        <v>47.266392389177057</v>
      </c>
      <c r="K754" s="3">
        <v>73.793483587980631</v>
      </c>
    </row>
    <row r="755" spans="1:11" x14ac:dyDescent="0.2">
      <c r="A755" s="2" t="s">
        <v>79</v>
      </c>
      <c r="B755" s="2" t="s">
        <v>80</v>
      </c>
      <c r="C755" s="3">
        <v>2005</v>
      </c>
      <c r="D755" s="3">
        <v>51585.6445807938</v>
      </c>
      <c r="E755" s="3">
        <v>0.55620348453521695</v>
      </c>
      <c r="F755" s="3">
        <v>4.2229299545288104</v>
      </c>
      <c r="G755" s="2"/>
      <c r="H755" s="4">
        <v>58166682</v>
      </c>
      <c r="I755" s="3">
        <v>1.0443499999999999</v>
      </c>
      <c r="J755" s="3">
        <v>49.122174228861823</v>
      </c>
      <c r="K755" s="3">
        <v>74.536727682285047</v>
      </c>
    </row>
    <row r="756" spans="1:11" x14ac:dyDescent="0.2">
      <c r="A756" s="2" t="s">
        <v>79</v>
      </c>
      <c r="B756" s="2" t="s">
        <v>80</v>
      </c>
      <c r="C756" s="3">
        <v>2006</v>
      </c>
      <c r="D756" s="3">
        <v>52304.240294981893</v>
      </c>
      <c r="E756" s="3">
        <v>0.35609769821166998</v>
      </c>
      <c r="F756" s="3">
        <v>4.5046300888061497</v>
      </c>
      <c r="G756" s="2"/>
      <c r="H756" s="4">
        <v>58399861</v>
      </c>
      <c r="I756" s="3">
        <v>1.0840099999999999</v>
      </c>
      <c r="J756" s="3">
        <v>52.92354295970123</v>
      </c>
      <c r="K756" s="3">
        <v>74.623449424921489</v>
      </c>
    </row>
    <row r="757" spans="1:11" x14ac:dyDescent="0.2">
      <c r="A757" s="2" t="s">
        <v>79</v>
      </c>
      <c r="B757" s="2" t="s">
        <v>80</v>
      </c>
      <c r="C757" s="3">
        <v>2007</v>
      </c>
      <c r="D757" s="3">
        <v>52747.19054768073</v>
      </c>
      <c r="E757" s="3">
        <v>0.191648334264755</v>
      </c>
      <c r="F757" s="3">
        <v>4.0876297950744602</v>
      </c>
      <c r="G757" s="3">
        <v>9255</v>
      </c>
      <c r="H757" s="4">
        <v>58756247</v>
      </c>
      <c r="I757" s="3">
        <v>1.1289899999999999</v>
      </c>
      <c r="J757" s="3">
        <v>54.828041557253137</v>
      </c>
      <c r="K757" s="3">
        <v>75.302229651557582</v>
      </c>
    </row>
    <row r="758" spans="1:11" x14ac:dyDescent="0.2">
      <c r="A758" s="2" t="s">
        <v>79</v>
      </c>
      <c r="B758" s="2" t="s">
        <v>80</v>
      </c>
      <c r="C758" s="3">
        <v>2008</v>
      </c>
      <c r="D758" s="3">
        <v>51806.390617639066</v>
      </c>
      <c r="E758" s="3">
        <v>0.27277886867523199</v>
      </c>
      <c r="F758" s="3">
        <v>4.3718800544738796</v>
      </c>
      <c r="G758" s="3">
        <v>8588</v>
      </c>
      <c r="H758" s="4">
        <v>59211181</v>
      </c>
      <c r="I758" s="3">
        <v>1.1597200000000001</v>
      </c>
      <c r="J758" s="3">
        <v>54.214254895667068</v>
      </c>
      <c r="K758" s="3">
        <v>75.342171089041699</v>
      </c>
    </row>
    <row r="759" spans="1:11" x14ac:dyDescent="0.2">
      <c r="A759" s="2" t="s">
        <v>79</v>
      </c>
      <c r="B759" s="2" t="s">
        <v>80</v>
      </c>
      <c r="C759" s="3">
        <v>2009</v>
      </c>
      <c r="D759" s="3">
        <v>48774.391683374757</v>
      </c>
      <c r="E759" s="3">
        <v>0.41727706789970398</v>
      </c>
      <c r="F759" s="3">
        <v>4.5041599273681596</v>
      </c>
      <c r="G759" s="3">
        <v>8814</v>
      </c>
      <c r="H759" s="4">
        <v>59555454</v>
      </c>
      <c r="I759" s="3">
        <v>1.21787</v>
      </c>
      <c r="J759" s="3">
        <v>45.141476572160407</v>
      </c>
      <c r="K759" s="3">
        <v>76.675095717681003</v>
      </c>
    </row>
    <row r="760" spans="1:11" x14ac:dyDescent="0.2">
      <c r="A760" s="2" t="s">
        <v>79</v>
      </c>
      <c r="B760" s="2" t="s">
        <v>80</v>
      </c>
      <c r="C760" s="3">
        <v>2010</v>
      </c>
      <c r="D760" s="3">
        <v>49301.695914167423</v>
      </c>
      <c r="E760" s="3">
        <v>0.467300355434418</v>
      </c>
      <c r="F760" s="3">
        <v>4.3162598609924299</v>
      </c>
      <c r="G760" s="3">
        <v>8877</v>
      </c>
      <c r="H760" s="4">
        <v>59819407</v>
      </c>
      <c r="I760" s="3">
        <v>1.21797</v>
      </c>
      <c r="J760" s="3">
        <v>51.662111813833931</v>
      </c>
      <c r="K760" s="3">
        <v>76.861204229267457</v>
      </c>
    </row>
    <row r="761" spans="1:11" x14ac:dyDescent="0.2">
      <c r="A761" s="2" t="s">
        <v>79</v>
      </c>
      <c r="B761" s="2" t="s">
        <v>80</v>
      </c>
      <c r="C761" s="3">
        <v>2011</v>
      </c>
      <c r="D761" s="3">
        <v>49473.014923563424</v>
      </c>
      <c r="E761" s="3">
        <v>0.40347912907600397</v>
      </c>
      <c r="F761" s="3">
        <v>4.0943098068237296</v>
      </c>
      <c r="G761" s="3">
        <v>8794</v>
      </c>
      <c r="H761" s="4">
        <v>60026841</v>
      </c>
      <c r="I761" s="3">
        <v>1.2015499999999999</v>
      </c>
      <c r="J761" s="3">
        <v>54.472214944928751</v>
      </c>
      <c r="K761" s="3">
        <v>76.808622856718443</v>
      </c>
    </row>
    <row r="762" spans="1:11" x14ac:dyDescent="0.2">
      <c r="A762" s="2" t="s">
        <v>79</v>
      </c>
      <c r="B762" s="2" t="s">
        <v>80</v>
      </c>
      <c r="C762" s="3">
        <v>2012</v>
      </c>
      <c r="D762" s="3">
        <v>47795.957936054117</v>
      </c>
      <c r="E762" s="3">
        <v>0.447511166334152</v>
      </c>
      <c r="F762" s="3">
        <v>4.0348100662231499</v>
      </c>
      <c r="G762" s="3">
        <v>8439</v>
      </c>
      <c r="H762" s="4">
        <v>60191247</v>
      </c>
      <c r="I762" s="3">
        <v>1.2621899999999999</v>
      </c>
      <c r="J762" s="3">
        <v>54.884495270220413</v>
      </c>
      <c r="K762" s="3">
        <v>77.475063371106017</v>
      </c>
    </row>
    <row r="763" spans="1:11" x14ac:dyDescent="0.2">
      <c r="A763" s="2" t="s">
        <v>79</v>
      </c>
      <c r="B763" s="2" t="s">
        <v>80</v>
      </c>
      <c r="C763" s="3">
        <v>2013</v>
      </c>
      <c r="D763" s="3">
        <v>46833.361530930328</v>
      </c>
      <c r="E763" s="3">
        <v>0.53242671489715598</v>
      </c>
      <c r="F763" s="3">
        <v>4.1219201087951696</v>
      </c>
      <c r="G763" s="3">
        <v>8307</v>
      </c>
      <c r="H763" s="4">
        <v>60311613</v>
      </c>
      <c r="I763" s="3">
        <v>1.3010699999999999</v>
      </c>
      <c r="J763" s="3">
        <v>54.034184631749852</v>
      </c>
      <c r="K763" s="3">
        <v>77.729746067821083</v>
      </c>
    </row>
    <row r="764" spans="1:11" x14ac:dyDescent="0.2">
      <c r="A764" s="2" t="s">
        <v>79</v>
      </c>
      <c r="B764" s="2" t="s">
        <v>80</v>
      </c>
      <c r="C764" s="3">
        <v>2014</v>
      </c>
      <c r="D764" s="3">
        <v>46825.651124506207</v>
      </c>
      <c r="E764" s="3">
        <v>0.47287222743034402</v>
      </c>
      <c r="F764" s="3">
        <v>4.0402698516845703</v>
      </c>
      <c r="G764" s="3">
        <v>8601</v>
      </c>
      <c r="H764" s="4">
        <v>60320707</v>
      </c>
      <c r="I764" s="3">
        <v>1.3384</v>
      </c>
      <c r="J764" s="3">
        <v>54.454529933203148</v>
      </c>
      <c r="K764" s="3">
        <v>78.817819281045757</v>
      </c>
    </row>
    <row r="765" spans="1:11" x14ac:dyDescent="0.2">
      <c r="A765" s="2" t="s">
        <v>79</v>
      </c>
      <c r="B765" s="2" t="s">
        <v>80</v>
      </c>
      <c r="C765" s="3">
        <v>2015</v>
      </c>
      <c r="D765" s="3">
        <v>47311.825526270914</v>
      </c>
      <c r="E765" s="3">
        <v>0.49019667506218001</v>
      </c>
      <c r="F765" s="3">
        <v>4.05422019958496</v>
      </c>
      <c r="G765" s="2"/>
      <c r="H765" s="4">
        <v>60229605</v>
      </c>
      <c r="I765" s="3">
        <v>1.3385</v>
      </c>
      <c r="J765" s="3">
        <v>55.435685814822143</v>
      </c>
      <c r="K765" s="3">
        <v>78.436012679314132</v>
      </c>
    </row>
    <row r="766" spans="1:11" x14ac:dyDescent="0.2">
      <c r="A766" s="2" t="s">
        <v>79</v>
      </c>
      <c r="B766" s="2" t="s">
        <v>80</v>
      </c>
      <c r="C766" s="3">
        <v>2016</v>
      </c>
      <c r="D766" s="3">
        <v>47987.837958101431</v>
      </c>
      <c r="E766" s="3">
        <v>0.54424464702606201</v>
      </c>
      <c r="F766" s="3">
        <v>3.7954900264739999</v>
      </c>
      <c r="G766" s="3">
        <v>8848</v>
      </c>
      <c r="H766" s="4">
        <v>60115223</v>
      </c>
      <c r="I766" s="3">
        <v>1.36642</v>
      </c>
      <c r="J766" s="3">
        <v>54.432146701831307</v>
      </c>
      <c r="K766" s="3">
        <v>78.66689217383923</v>
      </c>
    </row>
    <row r="767" spans="1:11" x14ac:dyDescent="0.2">
      <c r="A767" s="2" t="s">
        <v>79</v>
      </c>
      <c r="B767" s="2" t="s">
        <v>80</v>
      </c>
      <c r="C767" s="3">
        <v>2017</v>
      </c>
      <c r="D767" s="3">
        <v>48849.218353475568</v>
      </c>
      <c r="E767" s="3">
        <v>0.49192419648170499</v>
      </c>
      <c r="F767" s="3">
        <v>4.0266299247741699</v>
      </c>
      <c r="G767" s="3">
        <v>8643</v>
      </c>
      <c r="H767" s="4">
        <v>60002252</v>
      </c>
      <c r="I767" s="3">
        <v>1.3701300000000001</v>
      </c>
      <c r="J767" s="3">
        <v>57.582994027491083</v>
      </c>
      <c r="K767" s="3">
        <v>78.714136732874977</v>
      </c>
    </row>
    <row r="768" spans="1:11" x14ac:dyDescent="0.2">
      <c r="A768" s="2" t="s">
        <v>79</v>
      </c>
      <c r="B768" s="2" t="s">
        <v>80</v>
      </c>
      <c r="C768" s="3">
        <v>2018</v>
      </c>
      <c r="D768" s="3">
        <v>49133.143527174027</v>
      </c>
      <c r="E768" s="3">
        <v>0.40885326266288802</v>
      </c>
      <c r="F768" s="3">
        <v>4.2409300804138201</v>
      </c>
      <c r="G768" s="3">
        <v>8921</v>
      </c>
      <c r="H768" s="4">
        <v>60148658</v>
      </c>
      <c r="I768" s="3">
        <v>1.4244300000000001</v>
      </c>
      <c r="J768" s="3">
        <v>59.274983512815453</v>
      </c>
      <c r="K768" s="3">
        <v>79.187821657754</v>
      </c>
    </row>
    <row r="769" spans="1:11" x14ac:dyDescent="0.2">
      <c r="A769" s="2" t="s">
        <v>79</v>
      </c>
      <c r="B769" s="2" t="s">
        <v>80</v>
      </c>
      <c r="C769" s="3">
        <v>2019</v>
      </c>
      <c r="D769" s="3">
        <v>49690.629850527352</v>
      </c>
      <c r="E769" s="3">
        <v>0.45092979073524497</v>
      </c>
      <c r="F769" s="3">
        <v>4.07843017578125</v>
      </c>
      <c r="G769" s="3">
        <v>9229</v>
      </c>
      <c r="H769" s="4">
        <v>59729081</v>
      </c>
      <c r="I769" s="3">
        <v>1.4615899999999999</v>
      </c>
      <c r="J769" s="3">
        <v>58.694190259473757</v>
      </c>
      <c r="K769" s="3">
        <v>79.572329761904768</v>
      </c>
    </row>
    <row r="770" spans="1:11" x14ac:dyDescent="0.2">
      <c r="A770" s="2" t="s">
        <v>79</v>
      </c>
      <c r="B770" s="2" t="s">
        <v>80</v>
      </c>
      <c r="C770" s="3">
        <v>2020</v>
      </c>
      <c r="D770" s="3">
        <v>45505.068870895579</v>
      </c>
      <c r="E770" s="3">
        <v>0.36075457930564903</v>
      </c>
      <c r="F770" s="3">
        <v>4.41802978515625</v>
      </c>
      <c r="G770" s="3">
        <v>10061</v>
      </c>
      <c r="H770" s="4">
        <v>59438851</v>
      </c>
      <c r="I770" s="3">
        <v>1.5065999999999999</v>
      </c>
      <c r="J770" s="3">
        <v>53.939483904276372</v>
      </c>
      <c r="K770" s="3">
        <v>79.898028444104909</v>
      </c>
    </row>
    <row r="771" spans="1:11" x14ac:dyDescent="0.2">
      <c r="A771" s="2" t="s">
        <v>79</v>
      </c>
      <c r="B771" s="2" t="s">
        <v>80</v>
      </c>
      <c r="C771" s="3">
        <v>2021</v>
      </c>
      <c r="D771" s="3">
        <v>49825.393411184821</v>
      </c>
      <c r="E771" s="3">
        <v>0.32526087760925299</v>
      </c>
      <c r="F771" s="3">
        <v>4.1711897850036603</v>
      </c>
      <c r="G771" s="3">
        <v>10281</v>
      </c>
      <c r="H771" s="4">
        <v>59133173</v>
      </c>
      <c r="I771" s="3">
        <v>1.42658</v>
      </c>
      <c r="J771" s="3">
        <v>60.301977620279843</v>
      </c>
      <c r="K771" s="3">
        <v>79.877581943383419</v>
      </c>
    </row>
    <row r="772" spans="1:11" x14ac:dyDescent="0.2">
      <c r="A772" s="2" t="s">
        <v>81</v>
      </c>
      <c r="B772" s="2" t="s">
        <v>82</v>
      </c>
      <c r="C772" s="3">
        <v>2000</v>
      </c>
      <c r="D772" s="3">
        <v>39005.913630504438</v>
      </c>
      <c r="E772" s="3">
        <v>1.14183568954468</v>
      </c>
      <c r="F772" s="3">
        <v>3.4601199626922599</v>
      </c>
      <c r="G772" s="3">
        <v>387364</v>
      </c>
      <c r="H772" s="4">
        <v>126843000</v>
      </c>
      <c r="I772" s="3">
        <v>2.8584100000000001</v>
      </c>
      <c r="J772" s="3">
        <v>19.562371583905421</v>
      </c>
      <c r="K772" s="3">
        <v>75.881110077504175</v>
      </c>
    </row>
    <row r="773" spans="1:11" x14ac:dyDescent="0.2">
      <c r="A773" s="2" t="s">
        <v>81</v>
      </c>
      <c r="B773" s="2" t="s">
        <v>82</v>
      </c>
      <c r="C773" s="3">
        <v>2001</v>
      </c>
      <c r="D773" s="3">
        <v>39062.281735523487</v>
      </c>
      <c r="E773" s="2"/>
      <c r="F773" s="3">
        <v>3.4008200168609601</v>
      </c>
      <c r="G773" s="3">
        <v>386767</v>
      </c>
      <c r="H773" s="4">
        <v>127149000</v>
      </c>
      <c r="I773" s="3">
        <v>2.9234800000000001</v>
      </c>
      <c r="J773" s="3">
        <v>19.55960447200707</v>
      </c>
      <c r="K773" s="3">
        <v>76.342629294398407</v>
      </c>
    </row>
    <row r="774" spans="1:11" x14ac:dyDescent="0.2">
      <c r="A774" s="2" t="s">
        <v>81</v>
      </c>
      <c r="B774" s="2" t="s">
        <v>82</v>
      </c>
      <c r="C774" s="3">
        <v>2002</v>
      </c>
      <c r="D774" s="3">
        <v>38987.91027075379</v>
      </c>
      <c r="E774" s="3">
        <v>1.0168479681014999</v>
      </c>
      <c r="F774" s="3">
        <v>3.40898990631104</v>
      </c>
      <c r="G774" s="3">
        <v>369458</v>
      </c>
      <c r="H774" s="4">
        <v>127445000</v>
      </c>
      <c r="I774" s="3">
        <v>2.9651399999999999</v>
      </c>
      <c r="J774" s="3">
        <v>20.447122066158261</v>
      </c>
      <c r="K774" s="3">
        <v>76.534347830274285</v>
      </c>
    </row>
    <row r="775" spans="1:11" x14ac:dyDescent="0.2">
      <c r="A775" s="2" t="s">
        <v>81</v>
      </c>
      <c r="B775" s="2" t="s">
        <v>82</v>
      </c>
      <c r="C775" s="3">
        <v>2003</v>
      </c>
      <c r="D775" s="3">
        <v>39501.806782418957</v>
      </c>
      <c r="E775" s="3">
        <v>1.1574610471725499</v>
      </c>
      <c r="F775" s="3">
        <v>3.4666299819946298</v>
      </c>
      <c r="G775" s="3">
        <v>358184</v>
      </c>
      <c r="H775" s="4">
        <v>127718000</v>
      </c>
      <c r="I775" s="3">
        <v>2.9931999999999999</v>
      </c>
      <c r="J775" s="3">
        <v>21.32612526781185</v>
      </c>
      <c r="K775" s="3">
        <v>76.769178464672592</v>
      </c>
    </row>
    <row r="776" spans="1:11" x14ac:dyDescent="0.2">
      <c r="A776" s="2" t="s">
        <v>81</v>
      </c>
      <c r="B776" s="2" t="s">
        <v>82</v>
      </c>
      <c r="C776" s="3">
        <v>2004</v>
      </c>
      <c r="D776" s="3">
        <v>40351.776374395042</v>
      </c>
      <c r="E776" s="3">
        <v>1.34332299232483</v>
      </c>
      <c r="F776" s="3">
        <v>3.4261100292205802</v>
      </c>
      <c r="G776" s="3">
        <v>368416</v>
      </c>
      <c r="H776" s="4">
        <v>127761000</v>
      </c>
      <c r="I776" s="3">
        <v>2.9812500000000002</v>
      </c>
      <c r="J776" s="3">
        <v>23.66435342289747</v>
      </c>
      <c r="K776" s="3">
        <v>76.927730443739279</v>
      </c>
    </row>
    <row r="777" spans="1:11" x14ac:dyDescent="0.2">
      <c r="A777" s="2" t="s">
        <v>81</v>
      </c>
      <c r="B777" s="2" t="s">
        <v>82</v>
      </c>
      <c r="C777" s="3">
        <v>2005</v>
      </c>
      <c r="D777" s="3">
        <v>41075.824358084887</v>
      </c>
      <c r="E777" s="3">
        <v>1.2854862213134799</v>
      </c>
      <c r="F777" s="3">
        <v>3.3149399757385201</v>
      </c>
      <c r="G777" s="3">
        <v>367960</v>
      </c>
      <c r="H777" s="4">
        <v>127773000</v>
      </c>
      <c r="I777" s="3">
        <v>3.1309200000000001</v>
      </c>
      <c r="J777" s="3">
        <v>26.2299545778565</v>
      </c>
      <c r="K777" s="3">
        <v>77.244070465808704</v>
      </c>
    </row>
    <row r="778" spans="1:11" x14ac:dyDescent="0.2">
      <c r="A778" s="2" t="s">
        <v>81</v>
      </c>
      <c r="B778" s="2" t="s">
        <v>82</v>
      </c>
      <c r="C778" s="3">
        <v>2006</v>
      </c>
      <c r="D778" s="3">
        <v>41613.148382142739</v>
      </c>
      <c r="E778" s="3">
        <v>1.5849609375</v>
      </c>
      <c r="F778" s="3">
        <v>3.2766799926757799</v>
      </c>
      <c r="G778" s="3">
        <v>347060</v>
      </c>
      <c r="H778" s="4">
        <v>127854000</v>
      </c>
      <c r="I778" s="3">
        <v>3.2276600000000002</v>
      </c>
      <c r="J778" s="3">
        <v>30.01637609866917</v>
      </c>
      <c r="K778" s="3">
        <v>77.450608830385306</v>
      </c>
    </row>
    <row r="779" spans="1:11" x14ac:dyDescent="0.2">
      <c r="A779" s="2" t="s">
        <v>81</v>
      </c>
      <c r="B779" s="2" t="s">
        <v>82</v>
      </c>
      <c r="C779" s="3">
        <v>2007</v>
      </c>
      <c r="D779" s="3">
        <v>42182.175863662393</v>
      </c>
      <c r="E779" s="3">
        <v>1.4412595033645601</v>
      </c>
      <c r="F779" s="3">
        <v>3.27934002876282</v>
      </c>
      <c r="G779" s="3">
        <v>333498</v>
      </c>
      <c r="H779" s="4">
        <v>128001000</v>
      </c>
      <c r="I779" s="3">
        <v>3.29257</v>
      </c>
      <c r="J779" s="3">
        <v>32.816578051879013</v>
      </c>
      <c r="K779" s="3">
        <v>77.664319005667551</v>
      </c>
    </row>
    <row r="780" spans="1:11" x14ac:dyDescent="0.2">
      <c r="A780" s="2" t="s">
        <v>81</v>
      </c>
      <c r="B780" s="2" t="s">
        <v>82</v>
      </c>
      <c r="C780" s="3">
        <v>2008</v>
      </c>
      <c r="D780" s="3">
        <v>41645.572207897487</v>
      </c>
      <c r="E780" s="3">
        <v>1.45174884796143</v>
      </c>
      <c r="F780" s="3">
        <v>3.2724199295043901</v>
      </c>
      <c r="G780" s="3">
        <v>330110</v>
      </c>
      <c r="H780" s="4">
        <v>128063000</v>
      </c>
      <c r="I780" s="3">
        <v>3.2922400000000001</v>
      </c>
      <c r="J780" s="3">
        <v>34.129476541224548</v>
      </c>
      <c r="K780" s="3">
        <v>77.69016655125921</v>
      </c>
    </row>
    <row r="781" spans="1:11" x14ac:dyDescent="0.2">
      <c r="A781" s="2" t="s">
        <v>81</v>
      </c>
      <c r="B781" s="2" t="s">
        <v>82</v>
      </c>
      <c r="C781" s="3">
        <v>2009</v>
      </c>
      <c r="D781" s="3">
        <v>39279.498871012023</v>
      </c>
      <c r="E781" s="3">
        <v>1.4501043558120701</v>
      </c>
      <c r="F781" s="2"/>
      <c r="G781" s="3">
        <v>295315</v>
      </c>
      <c r="H781" s="4">
        <v>128047000</v>
      </c>
      <c r="I781" s="3">
        <v>3.1959</v>
      </c>
      <c r="J781" s="3">
        <v>24.39016653385552</v>
      </c>
      <c r="K781" s="3">
        <v>78.085916480904729</v>
      </c>
    </row>
    <row r="782" spans="1:11" x14ac:dyDescent="0.2">
      <c r="A782" s="2" t="s">
        <v>81</v>
      </c>
      <c r="B782" s="2" t="s">
        <v>82</v>
      </c>
      <c r="C782" s="3">
        <v>2010</v>
      </c>
      <c r="D782" s="3">
        <v>40881.797242318462</v>
      </c>
      <c r="E782" s="3">
        <v>1.52235090732574</v>
      </c>
      <c r="F782" s="3">
        <v>3.59951996803284</v>
      </c>
      <c r="G782" s="3">
        <v>290081</v>
      </c>
      <c r="H782" s="4">
        <v>128070000</v>
      </c>
      <c r="I782" s="3">
        <v>3.1049500000000001</v>
      </c>
      <c r="J782" s="3">
        <v>28.498472693838909</v>
      </c>
      <c r="K782" s="3">
        <v>78.306796602253939</v>
      </c>
    </row>
    <row r="783" spans="1:11" x14ac:dyDescent="0.2">
      <c r="A783" s="2" t="s">
        <v>81</v>
      </c>
      <c r="B783" s="2" t="s">
        <v>82</v>
      </c>
      <c r="C783" s="3">
        <v>2011</v>
      </c>
      <c r="D783" s="3">
        <v>40967.343140083212</v>
      </c>
      <c r="E783" s="3">
        <v>1.46691274642944</v>
      </c>
      <c r="F783" s="3">
        <v>3.6052799224853498</v>
      </c>
      <c r="G783" s="3">
        <v>287580</v>
      </c>
      <c r="H783" s="4">
        <v>127833000</v>
      </c>
      <c r="I783" s="3">
        <v>3.2053699999999998</v>
      </c>
      <c r="J783" s="3">
        <v>30.194960728629621</v>
      </c>
      <c r="K783" s="3">
        <v>78.546997601091718</v>
      </c>
    </row>
    <row r="784" spans="1:11" x14ac:dyDescent="0.2">
      <c r="A784" s="2" t="s">
        <v>81</v>
      </c>
      <c r="B784" s="2" t="s">
        <v>82</v>
      </c>
      <c r="C784" s="3">
        <v>2012</v>
      </c>
      <c r="D784" s="3">
        <v>41596.923803879632</v>
      </c>
      <c r="E784" s="3">
        <v>1.4079896211624101</v>
      </c>
      <c r="F784" s="3">
        <v>3.4194500446319598</v>
      </c>
      <c r="G784" s="3">
        <v>287013</v>
      </c>
      <c r="H784" s="4">
        <v>127629000</v>
      </c>
      <c r="I784" s="3">
        <v>3.1737099999999998</v>
      </c>
      <c r="J784" s="3">
        <v>30.470910917175232</v>
      </c>
      <c r="K784" s="3">
        <v>78.621446072228423</v>
      </c>
    </row>
    <row r="785" spans="1:11" x14ac:dyDescent="0.2">
      <c r="A785" s="2" t="s">
        <v>81</v>
      </c>
      <c r="B785" s="2" t="s">
        <v>82</v>
      </c>
      <c r="C785" s="3">
        <v>2013</v>
      </c>
      <c r="D785" s="3">
        <v>42492.243956049781</v>
      </c>
      <c r="E785" s="3">
        <v>1.6105093955993699</v>
      </c>
      <c r="F785" s="3">
        <v>3.4087500572204599</v>
      </c>
      <c r="G785" s="3">
        <v>271731</v>
      </c>
      <c r="H785" s="4">
        <v>127445000</v>
      </c>
      <c r="I785" s="3">
        <v>3.2789600000000001</v>
      </c>
      <c r="J785" s="3">
        <v>33.978768650951068</v>
      </c>
      <c r="K785" s="3">
        <v>78.53634166780931</v>
      </c>
    </row>
    <row r="786" spans="1:11" x14ac:dyDescent="0.2">
      <c r="A786" s="2" t="s">
        <v>81</v>
      </c>
      <c r="B786" s="2" t="s">
        <v>82</v>
      </c>
      <c r="C786" s="3">
        <v>2014</v>
      </c>
      <c r="D786" s="3">
        <v>42674.697630132068</v>
      </c>
      <c r="E786" s="3">
        <v>1.8054130077362101</v>
      </c>
      <c r="F786" s="3">
        <v>3.4152998924255402</v>
      </c>
      <c r="G786" s="3">
        <v>265959</v>
      </c>
      <c r="H786" s="4">
        <v>127276000</v>
      </c>
      <c r="I786" s="3">
        <v>3.36788</v>
      </c>
      <c r="J786" s="3">
        <v>37.431434568657949</v>
      </c>
      <c r="K786" s="3">
        <v>78.697468499800848</v>
      </c>
    </row>
    <row r="787" spans="1:11" x14ac:dyDescent="0.2">
      <c r="A787" s="2" t="s">
        <v>81</v>
      </c>
      <c r="B787" s="2" t="s">
        <v>82</v>
      </c>
      <c r="C787" s="3">
        <v>2015</v>
      </c>
      <c r="D787" s="3">
        <v>43386.710073951283</v>
      </c>
      <c r="E787" s="3">
        <v>1.7531654834747299</v>
      </c>
      <c r="F787" s="3">
        <v>3.3122100830078098</v>
      </c>
      <c r="G787" s="3">
        <v>258839</v>
      </c>
      <c r="H787" s="4">
        <v>127141000</v>
      </c>
      <c r="I787" s="3">
        <v>3.24071</v>
      </c>
      <c r="J787" s="3">
        <v>35.42740835447983</v>
      </c>
      <c r="K787" s="3">
        <v>79.272621997447018</v>
      </c>
    </row>
    <row r="788" spans="1:11" x14ac:dyDescent="0.2">
      <c r="A788" s="2" t="s">
        <v>81</v>
      </c>
      <c r="B788" s="2" t="s">
        <v>82</v>
      </c>
      <c r="C788" s="3">
        <v>2016</v>
      </c>
      <c r="D788" s="3">
        <v>43736.130507661212</v>
      </c>
      <c r="E788" s="3">
        <v>1.7848255634307899</v>
      </c>
      <c r="F788" s="3">
        <v>3.14643001556396</v>
      </c>
      <c r="G788" s="3">
        <v>260244</v>
      </c>
      <c r="H788" s="4">
        <v>127076000</v>
      </c>
      <c r="I788" s="3">
        <v>3.1066600000000002</v>
      </c>
      <c r="J788" s="3">
        <v>31.31024684558842</v>
      </c>
      <c r="K788" s="3">
        <v>79.267162927921746</v>
      </c>
    </row>
    <row r="789" spans="1:11" x14ac:dyDescent="0.2">
      <c r="A789" s="2" t="s">
        <v>81</v>
      </c>
      <c r="B789" s="2" t="s">
        <v>82</v>
      </c>
      <c r="C789" s="3">
        <v>2017</v>
      </c>
      <c r="D789" s="3">
        <v>44505.279260368443</v>
      </c>
      <c r="E789" s="3">
        <v>1.57989025115967</v>
      </c>
      <c r="F789" s="3">
        <v>3.1305799484252899</v>
      </c>
      <c r="G789" s="3">
        <v>260292</v>
      </c>
      <c r="H789" s="4">
        <v>126972000</v>
      </c>
      <c r="I789" s="3">
        <v>3.1663600000000001</v>
      </c>
      <c r="J789" s="3">
        <v>34.423213572168592</v>
      </c>
      <c r="K789" s="3">
        <v>79.298858232617064</v>
      </c>
    </row>
    <row r="790" spans="1:11" x14ac:dyDescent="0.2">
      <c r="A790" s="2" t="s">
        <v>81</v>
      </c>
      <c r="B790" s="2" t="s">
        <v>82</v>
      </c>
      <c r="C790" s="3">
        <v>2018</v>
      </c>
      <c r="D790" s="3">
        <v>44848.489942179753</v>
      </c>
      <c r="E790" s="3">
        <v>1.63458871841431</v>
      </c>
      <c r="F790" s="3">
        <v>3.07782006263733</v>
      </c>
      <c r="G790" s="3">
        <v>253630</v>
      </c>
      <c r="H790" s="4">
        <v>126811000</v>
      </c>
      <c r="I790" s="3">
        <v>3.2191999999999998</v>
      </c>
      <c r="J790" s="3">
        <v>36.609931802106999</v>
      </c>
      <c r="K790" s="3">
        <v>79.52632477816303</v>
      </c>
    </row>
    <row r="791" spans="1:11" x14ac:dyDescent="0.2">
      <c r="A791" s="2" t="s">
        <v>81</v>
      </c>
      <c r="B791" s="2" t="s">
        <v>82</v>
      </c>
      <c r="C791" s="3">
        <v>2019</v>
      </c>
      <c r="D791" s="3">
        <v>44730.91028449584</v>
      </c>
      <c r="E791" s="3">
        <v>1.55003654956818</v>
      </c>
      <c r="F791" s="3">
        <v>3.1553399562835698</v>
      </c>
      <c r="G791" s="3">
        <v>245372</v>
      </c>
      <c r="H791" s="4">
        <v>126633000</v>
      </c>
      <c r="I791" s="3">
        <v>3.2182400000000002</v>
      </c>
      <c r="J791" s="3">
        <v>35.216418108414473</v>
      </c>
      <c r="K791" s="3">
        <v>79.801831725953775</v>
      </c>
    </row>
    <row r="792" spans="1:11" x14ac:dyDescent="0.2">
      <c r="A792" s="2" t="s">
        <v>81</v>
      </c>
      <c r="B792" s="2" t="s">
        <v>82</v>
      </c>
      <c r="C792" s="3">
        <v>2020</v>
      </c>
      <c r="D792" s="3">
        <v>42992.479636532757</v>
      </c>
      <c r="E792" s="3">
        <v>1.5473005771637001</v>
      </c>
      <c r="F792" s="3">
        <v>3.3062899112701398</v>
      </c>
      <c r="G792" s="3">
        <v>227348</v>
      </c>
      <c r="H792" s="4">
        <v>126261000</v>
      </c>
      <c r="I792" s="3">
        <v>3.26458</v>
      </c>
      <c r="J792" s="3">
        <v>31.33520863677299</v>
      </c>
      <c r="K792" s="3">
        <v>80.022431577899226</v>
      </c>
    </row>
    <row r="793" spans="1:11" x14ac:dyDescent="0.2">
      <c r="A793" s="2" t="s">
        <v>81</v>
      </c>
      <c r="B793" s="2" t="s">
        <v>82</v>
      </c>
      <c r="C793" s="3">
        <v>2021</v>
      </c>
      <c r="D793" s="3">
        <v>44355.3487163354</v>
      </c>
      <c r="E793" s="3">
        <v>1.36116814613342</v>
      </c>
      <c r="F793" s="3">
        <v>3.3356399536132799</v>
      </c>
      <c r="G793" s="3">
        <v>222452</v>
      </c>
      <c r="H793" s="4">
        <v>125681593</v>
      </c>
      <c r="I793" s="3">
        <v>3.27677</v>
      </c>
      <c r="J793" s="3">
        <v>36.73844622806984</v>
      </c>
      <c r="K793" s="3">
        <v>80.060892330382018</v>
      </c>
    </row>
    <row r="794" spans="1:11" x14ac:dyDescent="0.2">
      <c r="A794" s="2" t="s">
        <v>83</v>
      </c>
      <c r="B794" s="2" t="s">
        <v>84</v>
      </c>
      <c r="C794" s="3">
        <v>2000</v>
      </c>
      <c r="D794" s="3">
        <v>12935.864368307981</v>
      </c>
      <c r="E794" s="3">
        <v>-0.77852112054824796</v>
      </c>
      <c r="F794" s="3">
        <v>3.25661993026733</v>
      </c>
      <c r="G794" s="3">
        <v>1399</v>
      </c>
      <c r="H794" s="4">
        <v>15501103</v>
      </c>
      <c r="I794" s="3">
        <v>0.18104000000000001</v>
      </c>
      <c r="J794" s="3">
        <v>105.6996926345212</v>
      </c>
      <c r="K794" s="3">
        <v>62.976568774801578</v>
      </c>
    </row>
    <row r="795" spans="1:11" x14ac:dyDescent="0.2">
      <c r="A795" s="2" t="s">
        <v>83</v>
      </c>
      <c r="B795" s="2" t="s">
        <v>84</v>
      </c>
      <c r="C795" s="3">
        <v>2001</v>
      </c>
      <c r="D795" s="3">
        <v>14612.029005049821</v>
      </c>
      <c r="E795" s="2"/>
      <c r="F795" s="2"/>
      <c r="G795" s="3">
        <v>1607</v>
      </c>
      <c r="H795" s="4">
        <v>15575550</v>
      </c>
      <c r="I795" s="3">
        <v>0.22009000000000001</v>
      </c>
      <c r="J795" s="3">
        <v>92.84906850697071</v>
      </c>
      <c r="K795" s="3">
        <v>63.704248040674607</v>
      </c>
    </row>
    <row r="796" spans="1:11" x14ac:dyDescent="0.2">
      <c r="A796" s="2" t="s">
        <v>83</v>
      </c>
      <c r="B796" s="2" t="s">
        <v>84</v>
      </c>
      <c r="C796" s="3">
        <v>2002</v>
      </c>
      <c r="D796" s="3">
        <v>15960.87384500131</v>
      </c>
      <c r="E796" s="3">
        <v>-1.07465088367462</v>
      </c>
      <c r="F796" s="3">
        <v>3.0297000408172599</v>
      </c>
      <c r="G796" s="3">
        <v>1594</v>
      </c>
      <c r="H796" s="4">
        <v>15656677</v>
      </c>
      <c r="I796" s="3">
        <v>0.25508999999999998</v>
      </c>
      <c r="J796" s="3">
        <v>94.031685649780002</v>
      </c>
      <c r="K796" s="3">
        <v>64.354324627976183</v>
      </c>
    </row>
    <row r="797" spans="1:11" x14ac:dyDescent="0.2">
      <c r="A797" s="2" t="s">
        <v>83</v>
      </c>
      <c r="B797" s="2" t="s">
        <v>84</v>
      </c>
      <c r="C797" s="3">
        <v>2003</v>
      </c>
      <c r="D797" s="3">
        <v>17344.752672995</v>
      </c>
      <c r="E797" s="3">
        <v>-0.76500231027603105</v>
      </c>
      <c r="F797" s="2"/>
      <c r="G797" s="3">
        <v>1696</v>
      </c>
      <c r="H797" s="4">
        <v>15747380</v>
      </c>
      <c r="I797" s="3">
        <v>0.25246000000000002</v>
      </c>
      <c r="J797" s="3">
        <v>91.463332425045735</v>
      </c>
      <c r="K797" s="3">
        <v>65.111145362103173</v>
      </c>
    </row>
    <row r="798" spans="1:11" x14ac:dyDescent="0.2">
      <c r="A798" s="2" t="s">
        <v>83</v>
      </c>
      <c r="B798" s="2" t="s">
        <v>84</v>
      </c>
      <c r="C798" s="3">
        <v>2004</v>
      </c>
      <c r="D798" s="3">
        <v>18886.581190812161</v>
      </c>
      <c r="E798" s="3">
        <v>-0.77648305892944303</v>
      </c>
      <c r="F798" s="3">
        <v>2.25590991973877</v>
      </c>
      <c r="G798" s="3">
        <v>1756</v>
      </c>
      <c r="H798" s="4">
        <v>15850159</v>
      </c>
      <c r="I798" s="3">
        <v>0.24837000000000001</v>
      </c>
      <c r="J798" s="3">
        <v>96.409199700933584</v>
      </c>
      <c r="K798" s="3">
        <v>65.622441790674614</v>
      </c>
    </row>
    <row r="799" spans="1:11" x14ac:dyDescent="0.2">
      <c r="A799" s="2" t="s">
        <v>83</v>
      </c>
      <c r="B799" s="2" t="s">
        <v>84</v>
      </c>
      <c r="C799" s="3">
        <v>2005</v>
      </c>
      <c r="D799" s="3">
        <v>20565.529447086548</v>
      </c>
      <c r="E799" s="3">
        <v>-0.67057901620864901</v>
      </c>
      <c r="F799" s="3">
        <v>2.2635300159454399</v>
      </c>
      <c r="G799" s="3">
        <v>1523</v>
      </c>
      <c r="H799" s="4">
        <v>15968117</v>
      </c>
      <c r="I799" s="3">
        <v>0.28360999999999997</v>
      </c>
      <c r="J799" s="3">
        <v>97.76250302430239</v>
      </c>
      <c r="K799" s="3">
        <v>63.088548983134913</v>
      </c>
    </row>
    <row r="800" spans="1:11" x14ac:dyDescent="0.2">
      <c r="A800" s="2" t="s">
        <v>83</v>
      </c>
      <c r="B800" s="2" t="s">
        <v>84</v>
      </c>
      <c r="C800" s="3">
        <v>2006</v>
      </c>
      <c r="D800" s="3">
        <v>22574.342957766508</v>
      </c>
      <c r="E800" s="3">
        <v>-0.47703212499618503</v>
      </c>
      <c r="F800" s="3">
        <v>2.62678003311157</v>
      </c>
      <c r="G800" s="3">
        <v>1433</v>
      </c>
      <c r="H800" s="4">
        <v>16103716</v>
      </c>
      <c r="I800" s="3">
        <v>0.24281</v>
      </c>
      <c r="J800" s="3">
        <v>91.45352679733729</v>
      </c>
      <c r="K800" s="3">
        <v>66.256581994047622</v>
      </c>
    </row>
    <row r="801" spans="1:11" x14ac:dyDescent="0.2">
      <c r="A801" s="2" t="s">
        <v>83</v>
      </c>
      <c r="B801" s="2" t="s">
        <v>84</v>
      </c>
      <c r="C801" s="3">
        <v>2007</v>
      </c>
      <c r="D801" s="3">
        <v>24351.346410254191</v>
      </c>
      <c r="E801" s="3">
        <v>-0.66585373878479004</v>
      </c>
      <c r="F801" s="3">
        <v>2.8313899040222199</v>
      </c>
      <c r="G801" s="3">
        <v>1633</v>
      </c>
      <c r="H801" s="4">
        <v>16257214</v>
      </c>
      <c r="I801" s="3">
        <v>0.20884</v>
      </c>
      <c r="J801" s="3">
        <v>92.161633096997505</v>
      </c>
      <c r="K801" s="3">
        <v>66.517456349206341</v>
      </c>
    </row>
    <row r="802" spans="1:11" x14ac:dyDescent="0.2">
      <c r="A802" s="2" t="s">
        <v>83</v>
      </c>
      <c r="B802" s="2" t="s">
        <v>84</v>
      </c>
      <c r="C802" s="3">
        <v>2008</v>
      </c>
      <c r="D802" s="3">
        <v>24895.66456832453</v>
      </c>
      <c r="E802" s="3">
        <v>-0.52413165569305398</v>
      </c>
      <c r="F802" s="3">
        <v>2.58945989608765</v>
      </c>
      <c r="G802" s="3">
        <v>1483</v>
      </c>
      <c r="H802" s="4">
        <v>16426525</v>
      </c>
      <c r="I802" s="3">
        <v>0.21654000000000001</v>
      </c>
      <c r="J802" s="3">
        <v>94.294804648365755</v>
      </c>
      <c r="K802" s="3">
        <v>67.394755555555577</v>
      </c>
    </row>
    <row r="803" spans="1:11" x14ac:dyDescent="0.2">
      <c r="A803" s="2" t="s">
        <v>83</v>
      </c>
      <c r="B803" s="2" t="s">
        <v>84</v>
      </c>
      <c r="C803" s="3">
        <v>2009</v>
      </c>
      <c r="D803" s="3">
        <v>24901.352726008368</v>
      </c>
      <c r="E803" s="3">
        <v>-0.44047060608863797</v>
      </c>
      <c r="F803" s="3">
        <v>3.06071996688843</v>
      </c>
      <c r="G803" s="3">
        <v>1513</v>
      </c>
      <c r="H803" s="4">
        <v>16619846</v>
      </c>
      <c r="I803" s="3">
        <v>0.22924</v>
      </c>
      <c r="J803" s="3">
        <v>75.766067463653258</v>
      </c>
      <c r="K803" s="3">
        <v>67.903899355158728</v>
      </c>
    </row>
    <row r="804" spans="1:11" x14ac:dyDescent="0.2">
      <c r="A804" s="2" t="s">
        <v>83</v>
      </c>
      <c r="B804" s="2" t="s">
        <v>84</v>
      </c>
      <c r="C804" s="3">
        <v>2010</v>
      </c>
      <c r="D804" s="3">
        <v>26374.84076727946</v>
      </c>
      <c r="E804" s="3">
        <v>-0.49290525913238498</v>
      </c>
      <c r="F804" s="3">
        <v>3.58735481721566</v>
      </c>
      <c r="G804" s="3">
        <v>1691</v>
      </c>
      <c r="H804" s="4">
        <v>16836810</v>
      </c>
      <c r="I804" s="3">
        <v>0.15340999999999999</v>
      </c>
      <c r="J804" s="3">
        <v>74.138265895784187</v>
      </c>
      <c r="K804" s="3">
        <v>68.294738591269834</v>
      </c>
    </row>
    <row r="805" spans="1:11" x14ac:dyDescent="0.2">
      <c r="A805" s="2" t="s">
        <v>83</v>
      </c>
      <c r="B805" s="2" t="s">
        <v>84</v>
      </c>
      <c r="C805" s="3">
        <v>2011</v>
      </c>
      <c r="D805" s="3">
        <v>27946.160343294388</v>
      </c>
      <c r="E805" s="3">
        <v>-0.51115906238555897</v>
      </c>
      <c r="F805" s="3">
        <v>3.6143401736456</v>
      </c>
      <c r="G805" s="3">
        <v>1415</v>
      </c>
      <c r="H805" s="4">
        <v>17066002</v>
      </c>
      <c r="I805" s="3">
        <v>0.15348999999999999</v>
      </c>
      <c r="J805" s="3">
        <v>73.117857050912917</v>
      </c>
      <c r="K805" s="3">
        <v>69.161315004960315</v>
      </c>
    </row>
    <row r="806" spans="1:11" x14ac:dyDescent="0.2">
      <c r="A806" s="2" t="s">
        <v>83</v>
      </c>
      <c r="B806" s="2" t="s">
        <v>84</v>
      </c>
      <c r="C806" s="3">
        <v>2012</v>
      </c>
      <c r="D806" s="3">
        <v>28881.241756372761</v>
      </c>
      <c r="E806" s="3">
        <v>-0.52538871765136697</v>
      </c>
      <c r="F806" s="3">
        <v>3.90163701288194</v>
      </c>
      <c r="G806" s="2"/>
      <c r="H806" s="4">
        <v>17306106</v>
      </c>
      <c r="I806" s="3">
        <v>0.16525000000000001</v>
      </c>
      <c r="J806" s="3">
        <v>73.723732489167091</v>
      </c>
      <c r="K806" s="3">
        <v>69.293519965277781</v>
      </c>
    </row>
    <row r="807" spans="1:11" x14ac:dyDescent="0.2">
      <c r="A807" s="2" t="s">
        <v>83</v>
      </c>
      <c r="B807" s="2" t="s">
        <v>84</v>
      </c>
      <c r="C807" s="3">
        <v>2013</v>
      </c>
      <c r="D807" s="3">
        <v>30177.488722173581</v>
      </c>
      <c r="E807" s="3">
        <v>-0.62073498964309703</v>
      </c>
      <c r="F807" s="3">
        <v>3.4456488656410902</v>
      </c>
      <c r="G807" s="3">
        <v>1824</v>
      </c>
      <c r="H807" s="4">
        <v>17556502</v>
      </c>
      <c r="I807" s="3">
        <v>0.17132</v>
      </c>
      <c r="J807" s="3">
        <v>65.407609329953772</v>
      </c>
      <c r="K807" s="3">
        <v>69.488110143849198</v>
      </c>
    </row>
    <row r="808" spans="1:11" x14ac:dyDescent="0.2">
      <c r="A808" s="2" t="s">
        <v>83</v>
      </c>
      <c r="B808" s="2" t="s">
        <v>84</v>
      </c>
      <c r="C808" s="3">
        <v>2014</v>
      </c>
      <c r="D808" s="3">
        <v>30986.437916899449</v>
      </c>
      <c r="E808" s="3">
        <v>-8.2010619342327104E-2</v>
      </c>
      <c r="F808" s="3">
        <v>3.4290395451282398</v>
      </c>
      <c r="G808" s="3">
        <v>1742</v>
      </c>
      <c r="H808" s="4">
        <v>17816285</v>
      </c>
      <c r="I808" s="3">
        <v>0.16722000000000001</v>
      </c>
      <c r="J808" s="3">
        <v>64.972034651350697</v>
      </c>
      <c r="K808" s="3">
        <v>69.92356790674603</v>
      </c>
    </row>
    <row r="809" spans="1:11" x14ac:dyDescent="0.2">
      <c r="A809" s="2" t="s">
        <v>83</v>
      </c>
      <c r="B809" s="2" t="s">
        <v>84</v>
      </c>
      <c r="C809" s="3">
        <v>2015</v>
      </c>
      <c r="D809" s="3">
        <v>30893.759485104139</v>
      </c>
      <c r="E809" s="3">
        <v>-0.14688128232955899</v>
      </c>
      <c r="F809" s="3">
        <v>2.7885799407959002</v>
      </c>
      <c r="G809" s="3">
        <v>1271</v>
      </c>
      <c r="H809" s="4">
        <v>18084169</v>
      </c>
      <c r="I809" s="3">
        <v>0.16950999999999999</v>
      </c>
      <c r="J809" s="3">
        <v>53.049728807265218</v>
      </c>
      <c r="K809" s="3">
        <v>70.315756125992067</v>
      </c>
    </row>
    <row r="810" spans="1:11" x14ac:dyDescent="0.2">
      <c r="A810" s="2" t="s">
        <v>83</v>
      </c>
      <c r="B810" s="2" t="s">
        <v>84</v>
      </c>
      <c r="C810" s="3">
        <v>2016</v>
      </c>
      <c r="D810" s="3">
        <v>30758.322726059789</v>
      </c>
      <c r="E810" s="3">
        <v>-0.14212912321090701</v>
      </c>
      <c r="F810" s="3">
        <v>2.97810006141663</v>
      </c>
      <c r="G810" s="3">
        <v>993</v>
      </c>
      <c r="H810" s="4">
        <v>18363600</v>
      </c>
      <c r="I810" s="3">
        <v>0.14179</v>
      </c>
      <c r="J810" s="3">
        <v>60.311596586415277</v>
      </c>
      <c r="K810" s="3">
        <v>70.587288913690472</v>
      </c>
    </row>
    <row r="811" spans="1:11" x14ac:dyDescent="0.2">
      <c r="A811" s="2" t="s">
        <v>83</v>
      </c>
      <c r="B811" s="2" t="s">
        <v>84</v>
      </c>
      <c r="C811" s="3">
        <v>2017</v>
      </c>
      <c r="D811" s="3">
        <v>31524.441633979401</v>
      </c>
      <c r="E811" s="3">
        <v>-6.5825566649437006E-2</v>
      </c>
      <c r="F811" s="3">
        <v>2.7508199214935298</v>
      </c>
      <c r="G811" s="3">
        <v>1055</v>
      </c>
      <c r="H811" s="4">
        <v>18651931</v>
      </c>
      <c r="I811" s="3">
        <v>0.12667</v>
      </c>
      <c r="J811" s="3">
        <v>56.825387935970952</v>
      </c>
      <c r="K811" s="3">
        <v>71.297772048611108</v>
      </c>
    </row>
    <row r="812" spans="1:11" x14ac:dyDescent="0.2">
      <c r="A812" s="2" t="s">
        <v>83</v>
      </c>
      <c r="B812" s="2" t="s">
        <v>84</v>
      </c>
      <c r="C812" s="3">
        <v>2018</v>
      </c>
      <c r="D812" s="3">
        <v>32330.22745465675</v>
      </c>
      <c r="E812" s="3">
        <v>-4.2083635926246601E-2</v>
      </c>
      <c r="F812" s="3">
        <v>2.6159501075744598</v>
      </c>
      <c r="G812" s="3">
        <v>789</v>
      </c>
      <c r="H812" s="4">
        <v>18932727</v>
      </c>
      <c r="I812" s="3">
        <v>0.11683</v>
      </c>
      <c r="J812" s="3">
        <v>63.527956511818807</v>
      </c>
      <c r="K812" s="3">
        <v>70.924303472222221</v>
      </c>
    </row>
    <row r="813" spans="1:11" x14ac:dyDescent="0.2">
      <c r="A813" s="2" t="s">
        <v>83</v>
      </c>
      <c r="B813" s="2" t="s">
        <v>84</v>
      </c>
      <c r="C813" s="3">
        <v>2019</v>
      </c>
      <c r="D813" s="3">
        <v>33298.212369503453</v>
      </c>
      <c r="E813" s="3">
        <v>6.8847119808196994E-2</v>
      </c>
      <c r="F813" s="3">
        <v>2.8569700717925999</v>
      </c>
      <c r="G813" s="2"/>
      <c r="H813" s="4">
        <v>19209555</v>
      </c>
      <c r="I813" s="3">
        <v>0.11841</v>
      </c>
      <c r="J813" s="3">
        <v>64.858616551756469</v>
      </c>
      <c r="K813" s="3">
        <v>71.682146602182527</v>
      </c>
    </row>
    <row r="814" spans="1:11" x14ac:dyDescent="0.2">
      <c r="A814" s="2" t="s">
        <v>83</v>
      </c>
      <c r="B814" s="2" t="s">
        <v>84</v>
      </c>
      <c r="C814" s="3">
        <v>2020</v>
      </c>
      <c r="D814" s="3">
        <v>32011.549149900398</v>
      </c>
      <c r="E814" s="3">
        <v>0.105691097676754</v>
      </c>
      <c r="F814" s="3">
        <v>4.4462038016961802</v>
      </c>
      <c r="G814" s="3">
        <v>803</v>
      </c>
      <c r="H814" s="4">
        <v>19482117</v>
      </c>
      <c r="I814" s="3">
        <v>0.12601999999999999</v>
      </c>
      <c r="J814" s="3">
        <v>57.026442366093143</v>
      </c>
      <c r="K814" s="3">
        <v>71.071954960317456</v>
      </c>
    </row>
    <row r="815" spans="1:11" x14ac:dyDescent="0.2">
      <c r="A815" s="2" t="s">
        <v>83</v>
      </c>
      <c r="B815" s="2" t="s">
        <v>84</v>
      </c>
      <c r="C815" s="3">
        <v>2021</v>
      </c>
      <c r="D815" s="3">
        <v>32945.851572582309</v>
      </c>
      <c r="E815" s="3">
        <v>2.9729317873716399E-2</v>
      </c>
      <c r="F815" s="3">
        <v>4.38569397571466</v>
      </c>
      <c r="G815" s="2"/>
      <c r="H815" s="4">
        <v>19743603</v>
      </c>
      <c r="I815" s="3">
        <v>0.13023000000000001</v>
      </c>
      <c r="J815" s="3">
        <v>58.668608577920658</v>
      </c>
      <c r="K815" s="3">
        <v>71.373615624999985</v>
      </c>
    </row>
    <row r="816" spans="1:11" x14ac:dyDescent="0.2">
      <c r="A816" s="2" t="s">
        <v>85</v>
      </c>
      <c r="B816" s="2" t="s">
        <v>86</v>
      </c>
      <c r="C816" s="3">
        <v>2000</v>
      </c>
      <c r="D816" s="3">
        <v>3756.6362229687888</v>
      </c>
      <c r="E816" s="3">
        <v>-0.62007862329482999</v>
      </c>
      <c r="F816" s="3">
        <v>5.1867299079895002</v>
      </c>
      <c r="G816" s="2"/>
      <c r="H816" s="4">
        <v>30642890</v>
      </c>
      <c r="I816" s="2"/>
      <c r="J816" s="3">
        <v>53.309044386227328</v>
      </c>
      <c r="K816" s="3">
        <v>51.720401633986931</v>
      </c>
    </row>
    <row r="817" spans="1:11" x14ac:dyDescent="0.2">
      <c r="A817" s="2" t="s">
        <v>85</v>
      </c>
      <c r="B817" s="2" t="s">
        <v>86</v>
      </c>
      <c r="C817" s="3">
        <v>2001</v>
      </c>
      <c r="D817" s="3">
        <v>3778.25854755615</v>
      </c>
      <c r="E817" s="2"/>
      <c r="F817" s="3">
        <v>5.2062101364135698</v>
      </c>
      <c r="G817" s="2"/>
      <c r="H817" s="4">
        <v>31619170</v>
      </c>
      <c r="I817" s="2"/>
      <c r="J817" s="3">
        <v>55.946836028664379</v>
      </c>
      <c r="K817" s="3">
        <v>52.306291736694682</v>
      </c>
    </row>
    <row r="818" spans="1:11" x14ac:dyDescent="0.2">
      <c r="A818" s="2" t="s">
        <v>85</v>
      </c>
      <c r="B818" s="2" t="s">
        <v>86</v>
      </c>
      <c r="C818" s="3">
        <v>2002</v>
      </c>
      <c r="D818" s="3">
        <v>3681.2569427490948</v>
      </c>
      <c r="E818" s="3">
        <v>-0.75649315118789695</v>
      </c>
      <c r="F818" s="3">
        <v>6.1719999313354501</v>
      </c>
      <c r="G818" s="3">
        <v>23</v>
      </c>
      <c r="H818" s="4">
        <v>32629808</v>
      </c>
      <c r="I818" s="2"/>
      <c r="J818" s="3">
        <v>55.172672264005342</v>
      </c>
      <c r="K818" s="3">
        <v>52.359662605042033</v>
      </c>
    </row>
    <row r="819" spans="1:11" x14ac:dyDescent="0.2">
      <c r="A819" s="2" t="s">
        <v>85</v>
      </c>
      <c r="B819" s="2" t="s">
        <v>86</v>
      </c>
      <c r="C819" s="3">
        <v>2003</v>
      </c>
      <c r="D819" s="3">
        <v>3674.0859275840862</v>
      </c>
      <c r="E819" s="3">
        <v>-0.70588600635528598</v>
      </c>
      <c r="F819" s="3">
        <v>6.4942698478698704</v>
      </c>
      <c r="G819" s="3">
        <v>22</v>
      </c>
      <c r="H819" s="4">
        <v>33652223</v>
      </c>
      <c r="I819" s="2"/>
      <c r="J819" s="3">
        <v>54.132265895729027</v>
      </c>
      <c r="K819" s="3">
        <v>53.031309593837527</v>
      </c>
    </row>
    <row r="820" spans="1:11" x14ac:dyDescent="0.2">
      <c r="A820" s="2" t="s">
        <v>85</v>
      </c>
      <c r="B820" s="2" t="s">
        <v>86</v>
      </c>
      <c r="C820" s="3">
        <v>2004</v>
      </c>
      <c r="D820" s="3">
        <v>3743.5678573692949</v>
      </c>
      <c r="E820" s="3">
        <v>-0.66613554954528797</v>
      </c>
      <c r="F820" s="3">
        <v>6.7969298362731898</v>
      </c>
      <c r="G820" s="3">
        <v>31</v>
      </c>
      <c r="H820" s="4">
        <v>34713455</v>
      </c>
      <c r="I820" s="2"/>
      <c r="J820" s="3">
        <v>59.477003348428859</v>
      </c>
      <c r="K820" s="3">
        <v>52.805317647058821</v>
      </c>
    </row>
    <row r="821" spans="1:11" x14ac:dyDescent="0.2">
      <c r="A821" s="2" t="s">
        <v>85</v>
      </c>
      <c r="B821" s="2" t="s">
        <v>86</v>
      </c>
      <c r="C821" s="3">
        <v>2005</v>
      </c>
      <c r="D821" s="3">
        <v>3844.7355712057779</v>
      </c>
      <c r="E821" s="3">
        <v>-0.70911026000976596</v>
      </c>
      <c r="F821" s="3">
        <v>7.3356499671936</v>
      </c>
      <c r="G821" s="3">
        <v>34</v>
      </c>
      <c r="H821" s="4">
        <v>35796484</v>
      </c>
      <c r="I821" s="2"/>
      <c r="J821" s="3">
        <v>64.478866163979589</v>
      </c>
      <c r="K821" s="3">
        <v>53.037651447245551</v>
      </c>
    </row>
    <row r="822" spans="1:11" x14ac:dyDescent="0.2">
      <c r="A822" s="2" t="s">
        <v>85</v>
      </c>
      <c r="B822" s="2" t="s">
        <v>86</v>
      </c>
      <c r="C822" s="3">
        <v>2006</v>
      </c>
      <c r="D822" s="3">
        <v>3970.7334988768539</v>
      </c>
      <c r="E822" s="3">
        <v>-0.65545958280563399</v>
      </c>
      <c r="F822" s="3">
        <v>7.0498399734497097</v>
      </c>
      <c r="G822" s="3">
        <v>41</v>
      </c>
      <c r="H822" s="4">
        <v>36904008</v>
      </c>
      <c r="I822" s="2"/>
      <c r="J822" s="3">
        <v>55.236485125730319</v>
      </c>
      <c r="K822" s="3">
        <v>53.667454878618123</v>
      </c>
    </row>
    <row r="823" spans="1:11" x14ac:dyDescent="0.2">
      <c r="A823" s="2" t="s">
        <v>85</v>
      </c>
      <c r="B823" s="2" t="s">
        <v>86</v>
      </c>
      <c r="C823" s="3">
        <v>2007</v>
      </c>
      <c r="D823" s="3">
        <v>4116.4509472085629</v>
      </c>
      <c r="E823" s="3">
        <v>-0.52921104431152299</v>
      </c>
      <c r="F823" s="2"/>
      <c r="G823" s="3">
        <v>41</v>
      </c>
      <c r="H823" s="4">
        <v>38036349</v>
      </c>
      <c r="I823" s="3">
        <v>0.35521000000000003</v>
      </c>
      <c r="J823" s="3">
        <v>53.894788804605852</v>
      </c>
      <c r="K823" s="3">
        <v>54.094750163398693</v>
      </c>
    </row>
    <row r="824" spans="1:11" x14ac:dyDescent="0.2">
      <c r="A824" s="2" t="s">
        <v>85</v>
      </c>
      <c r="B824" s="2" t="s">
        <v>86</v>
      </c>
      <c r="C824" s="3">
        <v>2008</v>
      </c>
      <c r="D824" s="3">
        <v>4002.8836407379158</v>
      </c>
      <c r="E824" s="3">
        <v>-0.62447512149810802</v>
      </c>
      <c r="F824" s="2"/>
      <c r="G824" s="3">
        <v>63</v>
      </c>
      <c r="H824" s="4">
        <v>39206351</v>
      </c>
      <c r="I824" s="2"/>
      <c r="J824" s="3">
        <v>57.578598647313108</v>
      </c>
      <c r="K824" s="3">
        <v>54.058234360410843</v>
      </c>
    </row>
    <row r="825" spans="1:11" x14ac:dyDescent="0.2">
      <c r="A825" s="2" t="s">
        <v>85</v>
      </c>
      <c r="B825" s="2" t="s">
        <v>86</v>
      </c>
      <c r="C825" s="3">
        <v>2009</v>
      </c>
      <c r="D825" s="3">
        <v>4012.194283823972</v>
      </c>
      <c r="E825" s="3">
        <v>-0.66447937488555897</v>
      </c>
      <c r="F825" s="2"/>
      <c r="G825" s="3">
        <v>48</v>
      </c>
      <c r="H825" s="4">
        <v>40408891</v>
      </c>
      <c r="I825" s="2"/>
      <c r="J825" s="3">
        <v>45.945191812780507</v>
      </c>
      <c r="K825" s="3">
        <v>54.129097875817003</v>
      </c>
    </row>
    <row r="826" spans="1:11" x14ac:dyDescent="0.2">
      <c r="A826" s="2" t="s">
        <v>85</v>
      </c>
      <c r="B826" s="2" t="s">
        <v>86</v>
      </c>
      <c r="C826" s="3">
        <v>2010</v>
      </c>
      <c r="D826" s="3">
        <v>4211.5246295778406</v>
      </c>
      <c r="E826" s="3">
        <v>-0.58294844627380404</v>
      </c>
      <c r="F826" s="3">
        <v>4.81548976898193</v>
      </c>
      <c r="G826" s="3">
        <v>77</v>
      </c>
      <c r="H826" s="4">
        <v>41598567</v>
      </c>
      <c r="I826" s="3">
        <v>0.69221999999999995</v>
      </c>
      <c r="J826" s="3">
        <v>50.394287350283378</v>
      </c>
      <c r="K826" s="3">
        <v>54.891016853408033</v>
      </c>
    </row>
    <row r="827" spans="1:11" x14ac:dyDescent="0.2">
      <c r="A827" s="2" t="s">
        <v>85</v>
      </c>
      <c r="B827" s="2" t="s">
        <v>86</v>
      </c>
      <c r="C827" s="3">
        <v>2011</v>
      </c>
      <c r="D827" s="3">
        <v>4307.1061155685848</v>
      </c>
      <c r="E827" s="3">
        <v>-0.57852667570114102</v>
      </c>
      <c r="F827" s="3">
        <v>4.7001299858093297</v>
      </c>
      <c r="G827" s="3">
        <v>135</v>
      </c>
      <c r="H827" s="4">
        <v>42758461</v>
      </c>
      <c r="I827" s="2"/>
      <c r="J827" s="3">
        <v>58.402205974562492</v>
      </c>
      <c r="K827" s="3">
        <v>55.53252528011204</v>
      </c>
    </row>
    <row r="828" spans="1:11" x14ac:dyDescent="0.2">
      <c r="A828" s="2" t="s">
        <v>85</v>
      </c>
      <c r="B828" s="2" t="s">
        <v>86</v>
      </c>
      <c r="C828" s="3">
        <v>2012</v>
      </c>
      <c r="D828" s="3">
        <v>4387.9379007540856</v>
      </c>
      <c r="E828" s="3">
        <v>-0.54013484716415405</v>
      </c>
      <c r="F828" s="3">
        <v>4.9312100410461399</v>
      </c>
      <c r="G828" s="3">
        <v>123</v>
      </c>
      <c r="H828" s="4">
        <v>43888303</v>
      </c>
      <c r="I828" s="2"/>
      <c r="J828" s="3">
        <v>51.623692023248068</v>
      </c>
      <c r="K828" s="3">
        <v>55.759518697478988</v>
      </c>
    </row>
    <row r="829" spans="1:11" x14ac:dyDescent="0.2">
      <c r="A829" s="2" t="s">
        <v>85</v>
      </c>
      <c r="B829" s="2" t="s">
        <v>86</v>
      </c>
      <c r="C829" s="3">
        <v>2013</v>
      </c>
      <c r="D829" s="3">
        <v>4443.3712156819984</v>
      </c>
      <c r="E829" s="3">
        <v>-0.47786599397659302</v>
      </c>
      <c r="F829" s="3">
        <v>4.8372101783752397</v>
      </c>
      <c r="G829" s="3">
        <v>127</v>
      </c>
      <c r="H829" s="4">
        <v>44986791</v>
      </c>
      <c r="I829" s="2"/>
      <c r="J829" s="3">
        <v>47.464642512730357</v>
      </c>
      <c r="K829" s="3">
        <v>55.698729995331462</v>
      </c>
    </row>
    <row r="830" spans="1:11" x14ac:dyDescent="0.2">
      <c r="A830" s="2" t="s">
        <v>85</v>
      </c>
      <c r="B830" s="2" t="s">
        <v>86</v>
      </c>
      <c r="C830" s="3">
        <v>2014</v>
      </c>
      <c r="D830" s="3">
        <v>4558.5515526637364</v>
      </c>
      <c r="E830" s="3">
        <v>-0.35890153050422702</v>
      </c>
      <c r="F830" s="3">
        <v>4.7172999382018999</v>
      </c>
      <c r="G830" s="3">
        <v>132</v>
      </c>
      <c r="H830" s="4">
        <v>46051440</v>
      </c>
      <c r="I830" s="2"/>
      <c r="J830" s="3">
        <v>46.170489362215982</v>
      </c>
      <c r="K830" s="3">
        <v>57.057998459383747</v>
      </c>
    </row>
    <row r="831" spans="1:11" x14ac:dyDescent="0.2">
      <c r="A831" s="2" t="s">
        <v>85</v>
      </c>
      <c r="B831" s="2" t="s">
        <v>86</v>
      </c>
      <c r="C831" s="3">
        <v>2015</v>
      </c>
      <c r="D831" s="3">
        <v>4679.6218283193821</v>
      </c>
      <c r="E831" s="3">
        <v>-0.39397698640823398</v>
      </c>
      <c r="F831" s="3">
        <v>4.7435002326965297</v>
      </c>
      <c r="G831" s="3">
        <v>137</v>
      </c>
      <c r="H831" s="4">
        <v>47088526</v>
      </c>
      <c r="I831" s="2"/>
      <c r="J831" s="3">
        <v>40.327384691901898</v>
      </c>
      <c r="K831" s="3">
        <v>59.162039869281038</v>
      </c>
    </row>
    <row r="832" spans="1:11" x14ac:dyDescent="0.2">
      <c r="A832" s="2" t="s">
        <v>85</v>
      </c>
      <c r="B832" s="2" t="s">
        <v>86</v>
      </c>
      <c r="C832" s="3">
        <v>2016</v>
      </c>
      <c r="D832" s="3">
        <v>4770.3104638808591</v>
      </c>
      <c r="E832" s="3">
        <v>-0.40243056416511502</v>
      </c>
      <c r="F832" s="3">
        <v>4.89518022537231</v>
      </c>
      <c r="G832" s="3">
        <v>144</v>
      </c>
      <c r="H832" s="4">
        <v>48139687</v>
      </c>
      <c r="I832" s="2"/>
      <c r="J832" s="3">
        <v>34.865019573182423</v>
      </c>
      <c r="K832" s="3">
        <v>59.458303781512598</v>
      </c>
    </row>
    <row r="833" spans="1:11" x14ac:dyDescent="0.2">
      <c r="A833" s="2" t="s">
        <v>85</v>
      </c>
      <c r="B833" s="2" t="s">
        <v>86</v>
      </c>
      <c r="C833" s="3">
        <v>2017</v>
      </c>
      <c r="D833" s="3">
        <v>4846.8621085193163</v>
      </c>
      <c r="E833" s="3">
        <v>-0.39035660028457603</v>
      </c>
      <c r="F833" s="3">
        <v>4.9630899429321298</v>
      </c>
      <c r="G833" s="3">
        <v>135</v>
      </c>
      <c r="H833" s="4">
        <v>49197766</v>
      </c>
      <c r="I833" s="2"/>
      <c r="J833" s="3">
        <v>35.99505787540744</v>
      </c>
      <c r="K833" s="3">
        <v>59.524126750700283</v>
      </c>
    </row>
    <row r="834" spans="1:11" x14ac:dyDescent="0.2">
      <c r="A834" s="2" t="s">
        <v>85</v>
      </c>
      <c r="B834" s="2" t="s">
        <v>86</v>
      </c>
      <c r="C834" s="3">
        <v>2018</v>
      </c>
      <c r="D834" s="3">
        <v>5017.6678467466381</v>
      </c>
      <c r="E834" s="3">
        <v>-0.49365317821502702</v>
      </c>
      <c r="F834" s="3">
        <v>5.1076197624206499</v>
      </c>
      <c r="G834" s="3">
        <v>244</v>
      </c>
      <c r="H834" s="4">
        <v>50207107</v>
      </c>
      <c r="I834" s="2"/>
      <c r="J834" s="3">
        <v>34.414753176742479</v>
      </c>
      <c r="K834" s="3">
        <v>59.916189822595697</v>
      </c>
    </row>
    <row r="835" spans="1:11" x14ac:dyDescent="0.2">
      <c r="A835" s="2" t="s">
        <v>85</v>
      </c>
      <c r="B835" s="2" t="s">
        <v>86</v>
      </c>
      <c r="C835" s="3">
        <v>2019</v>
      </c>
      <c r="D835" s="3">
        <v>5171.7126427925723</v>
      </c>
      <c r="E835" s="3">
        <v>-0.44165915250778198</v>
      </c>
      <c r="F835" s="3">
        <v>5.3735921099809696</v>
      </c>
      <c r="G835" s="3">
        <v>294</v>
      </c>
      <c r="H835" s="4">
        <v>51202827</v>
      </c>
      <c r="I835" s="2"/>
      <c r="J835" s="3">
        <v>31.75946184148102</v>
      </c>
      <c r="K835" s="3">
        <v>60.104014262371606</v>
      </c>
    </row>
    <row r="836" spans="1:11" x14ac:dyDescent="0.2">
      <c r="A836" s="2" t="s">
        <v>85</v>
      </c>
      <c r="B836" s="2" t="s">
        <v>86</v>
      </c>
      <c r="C836" s="3">
        <v>2020</v>
      </c>
      <c r="D836" s="3">
        <v>5057.4011553742866</v>
      </c>
      <c r="E836" s="3">
        <v>-0.39947336912155201</v>
      </c>
      <c r="F836" s="3">
        <v>5.0457489245415497</v>
      </c>
      <c r="G836" s="3">
        <v>341</v>
      </c>
      <c r="H836" s="4">
        <v>52217334</v>
      </c>
      <c r="I836" s="2"/>
      <c r="J836" s="3">
        <v>30.399138783041082</v>
      </c>
      <c r="K836" s="3">
        <v>61.249309663865553</v>
      </c>
    </row>
    <row r="837" spans="1:11" x14ac:dyDescent="0.2">
      <c r="A837" s="2" t="s">
        <v>85</v>
      </c>
      <c r="B837" s="2" t="s">
        <v>86</v>
      </c>
      <c r="C837" s="3">
        <v>2021</v>
      </c>
      <c r="D837" s="3">
        <v>5338.852433827813</v>
      </c>
      <c r="E837" s="3">
        <v>-0.32590949535369901</v>
      </c>
      <c r="F837" s="3">
        <v>4.8904020225719496</v>
      </c>
      <c r="G837" s="3">
        <v>160</v>
      </c>
      <c r="H837" s="4">
        <v>53219166</v>
      </c>
      <c r="I837" s="2"/>
      <c r="J837" s="3">
        <v>35.002047779526897</v>
      </c>
      <c r="K837" s="3">
        <v>60.783007236227817</v>
      </c>
    </row>
    <row r="838" spans="1:11" x14ac:dyDescent="0.2">
      <c r="A838" s="2" t="s">
        <v>87</v>
      </c>
      <c r="B838" s="2" t="s">
        <v>88</v>
      </c>
      <c r="C838" s="3">
        <v>2000</v>
      </c>
      <c r="D838" s="3">
        <v>26404.158857574552</v>
      </c>
      <c r="E838" s="3">
        <v>0.61354058980941795</v>
      </c>
      <c r="F838" s="2"/>
      <c r="G838" s="3">
        <v>72831</v>
      </c>
      <c r="H838" s="4">
        <v>47008111</v>
      </c>
      <c r="I838" s="3">
        <v>2.1251899999999999</v>
      </c>
      <c r="J838" s="3">
        <v>64.058815572905615</v>
      </c>
      <c r="K838" s="3">
        <v>73.223884509444801</v>
      </c>
    </row>
    <row r="839" spans="1:11" x14ac:dyDescent="0.2">
      <c r="A839" s="2" t="s">
        <v>87</v>
      </c>
      <c r="B839" s="2" t="s">
        <v>88</v>
      </c>
      <c r="C839" s="3">
        <v>2001</v>
      </c>
      <c r="D839" s="3">
        <v>27440.656491584661</v>
      </c>
      <c r="E839" s="2"/>
      <c r="F839" s="2"/>
      <c r="G839" s="3">
        <v>73714</v>
      </c>
      <c r="H839" s="4">
        <v>47370164</v>
      </c>
      <c r="I839" s="3">
        <v>2.2786499999999998</v>
      </c>
      <c r="J839" s="3">
        <v>60.427738664169318</v>
      </c>
      <c r="K839" s="3">
        <v>73.694137696617091</v>
      </c>
    </row>
    <row r="840" spans="1:11" x14ac:dyDescent="0.2">
      <c r="A840" s="2" t="s">
        <v>87</v>
      </c>
      <c r="B840" s="2" t="s">
        <v>88</v>
      </c>
      <c r="C840" s="3">
        <v>2002</v>
      </c>
      <c r="D840" s="3">
        <v>29395.27660367962</v>
      </c>
      <c r="E840" s="3">
        <v>0.79630523920059204</v>
      </c>
      <c r="F840" s="2"/>
      <c r="G840" s="3">
        <v>76570</v>
      </c>
      <c r="H840" s="4">
        <v>47644736</v>
      </c>
      <c r="I840" s="3">
        <v>2.2077399999999998</v>
      </c>
      <c r="J840" s="3">
        <v>56.668876796027277</v>
      </c>
      <c r="K840" s="3">
        <v>73.50760992063492</v>
      </c>
    </row>
    <row r="841" spans="1:11" x14ac:dyDescent="0.2">
      <c r="A841" s="2" t="s">
        <v>87</v>
      </c>
      <c r="B841" s="2" t="s">
        <v>88</v>
      </c>
      <c r="C841" s="3">
        <v>2003</v>
      </c>
      <c r="D841" s="3">
        <v>30142.46055858137</v>
      </c>
      <c r="E841" s="3">
        <v>0.79047667980194103</v>
      </c>
      <c r="F841" s="2"/>
      <c r="G841" s="3">
        <v>90313</v>
      </c>
      <c r="H841" s="4">
        <v>47892330</v>
      </c>
      <c r="I841" s="3">
        <v>2.2772199999999998</v>
      </c>
      <c r="J841" s="3">
        <v>59.424294554173173</v>
      </c>
      <c r="K841" s="3">
        <v>73.446760037348284</v>
      </c>
    </row>
    <row r="842" spans="1:11" x14ac:dyDescent="0.2">
      <c r="A842" s="2" t="s">
        <v>87</v>
      </c>
      <c r="B842" s="2" t="s">
        <v>88</v>
      </c>
      <c r="C842" s="3">
        <v>2004</v>
      </c>
      <c r="D842" s="3">
        <v>31579.52830488668</v>
      </c>
      <c r="E842" s="3">
        <v>0.81553906202316295</v>
      </c>
      <c r="F842" s="2"/>
      <c r="G842" s="3">
        <v>105250</v>
      </c>
      <c r="H842" s="4">
        <v>48082519</v>
      </c>
      <c r="I842" s="3">
        <v>2.4421400000000002</v>
      </c>
      <c r="J842" s="3">
        <v>67.927063875107606</v>
      </c>
      <c r="K842" s="3">
        <v>73.654553591180047</v>
      </c>
    </row>
    <row r="843" spans="1:11" x14ac:dyDescent="0.2">
      <c r="A843" s="2" t="s">
        <v>87</v>
      </c>
      <c r="B843" s="2" t="s">
        <v>88</v>
      </c>
      <c r="C843" s="3">
        <v>2005</v>
      </c>
      <c r="D843" s="3">
        <v>32886.047245074296</v>
      </c>
      <c r="E843" s="3">
        <v>0.924596548080444</v>
      </c>
      <c r="F843" s="2"/>
      <c r="G843" s="3">
        <v>122188</v>
      </c>
      <c r="H843" s="4">
        <v>48184561</v>
      </c>
      <c r="I843" s="3">
        <v>2.5228999999999999</v>
      </c>
      <c r="J843" s="3">
        <v>66.169514824269697</v>
      </c>
      <c r="K843" s="3">
        <v>74.147692151475994</v>
      </c>
    </row>
    <row r="844" spans="1:11" x14ac:dyDescent="0.2">
      <c r="A844" s="2" t="s">
        <v>87</v>
      </c>
      <c r="B844" s="2" t="s">
        <v>88</v>
      </c>
      <c r="C844" s="3">
        <v>2006</v>
      </c>
      <c r="D844" s="3">
        <v>34429.622201313723</v>
      </c>
      <c r="E844" s="3">
        <v>0.98420768976211503</v>
      </c>
      <c r="F844" s="2"/>
      <c r="G844" s="3">
        <v>125476</v>
      </c>
      <c r="H844" s="4">
        <v>48438292</v>
      </c>
      <c r="I844" s="3">
        <v>2.7193399999999999</v>
      </c>
      <c r="J844" s="3">
        <v>68.37495094022627</v>
      </c>
      <c r="K844" s="3">
        <v>74.174185734037223</v>
      </c>
    </row>
    <row r="845" spans="1:11" x14ac:dyDescent="0.2">
      <c r="A845" s="2" t="s">
        <v>87</v>
      </c>
      <c r="B845" s="2" t="s">
        <v>88</v>
      </c>
      <c r="C845" s="3">
        <v>2007</v>
      </c>
      <c r="D845" s="3">
        <v>36257.340168970157</v>
      </c>
      <c r="E845" s="3">
        <v>1.20181572437286</v>
      </c>
      <c r="F845" s="2"/>
      <c r="G845" s="3">
        <v>128701</v>
      </c>
      <c r="H845" s="4">
        <v>48683638</v>
      </c>
      <c r="I845" s="3">
        <v>2.8725800000000001</v>
      </c>
      <c r="J845" s="3">
        <v>71.323961498801324</v>
      </c>
      <c r="K845" s="3">
        <v>74.276153759965524</v>
      </c>
    </row>
    <row r="846" spans="1:11" x14ac:dyDescent="0.2">
      <c r="A846" s="2" t="s">
        <v>87</v>
      </c>
      <c r="B846" s="2" t="s">
        <v>88</v>
      </c>
      <c r="C846" s="3">
        <v>2008</v>
      </c>
      <c r="D846" s="3">
        <v>37064.151848410649</v>
      </c>
      <c r="E846" s="3">
        <v>0.99448692798614502</v>
      </c>
      <c r="F846" s="2"/>
      <c r="G846" s="3">
        <v>127114</v>
      </c>
      <c r="H846" s="4">
        <v>49054708</v>
      </c>
      <c r="I846" s="3">
        <v>2.9888699999999999</v>
      </c>
      <c r="J846" s="3">
        <v>92.083354496181911</v>
      </c>
      <c r="K846" s="3">
        <v>74.959724877899887</v>
      </c>
    </row>
    <row r="847" spans="1:11" x14ac:dyDescent="0.2">
      <c r="A847" s="2" t="s">
        <v>87</v>
      </c>
      <c r="B847" s="2" t="s">
        <v>88</v>
      </c>
      <c r="C847" s="3">
        <v>2009</v>
      </c>
      <c r="D847" s="3">
        <v>37176.193927096872</v>
      </c>
      <c r="E847" s="3">
        <v>1.0248161554336499</v>
      </c>
      <c r="F847" s="2"/>
      <c r="G847" s="3">
        <v>127316</v>
      </c>
      <c r="H847" s="4">
        <v>49307835</v>
      </c>
      <c r="I847" s="3">
        <v>3.14669</v>
      </c>
      <c r="J847" s="3">
        <v>83.12460990571617</v>
      </c>
      <c r="K847" s="3">
        <v>75.33121447425124</v>
      </c>
    </row>
    <row r="848" spans="1:11" x14ac:dyDescent="0.2">
      <c r="A848" s="2" t="s">
        <v>87</v>
      </c>
      <c r="B848" s="2" t="s">
        <v>88</v>
      </c>
      <c r="C848" s="3">
        <v>2010</v>
      </c>
      <c r="D848" s="3">
        <v>39574.050073294682</v>
      </c>
      <c r="E848" s="3">
        <v>1.14781618118286</v>
      </c>
      <c r="F848" s="2"/>
      <c r="G848" s="3">
        <v>131805</v>
      </c>
      <c r="H848" s="4">
        <v>49554112</v>
      </c>
      <c r="I848" s="3">
        <v>3.3157800000000002</v>
      </c>
      <c r="J848" s="3">
        <v>88.027867712312386</v>
      </c>
      <c r="K848" s="3">
        <v>75.27739412842061</v>
      </c>
    </row>
    <row r="849" spans="1:11" x14ac:dyDescent="0.2">
      <c r="A849" s="2" t="s">
        <v>87</v>
      </c>
      <c r="B849" s="2" t="s">
        <v>88</v>
      </c>
      <c r="C849" s="3">
        <v>2011</v>
      </c>
      <c r="D849" s="3">
        <v>40719.227377167073</v>
      </c>
      <c r="E849" s="3">
        <v>1.1579436063766499</v>
      </c>
      <c r="F849" s="2"/>
      <c r="G849" s="3">
        <v>138034</v>
      </c>
      <c r="H849" s="4">
        <v>49936638</v>
      </c>
      <c r="I849" s="3">
        <v>3.59199</v>
      </c>
      <c r="J849" s="3">
        <v>101.6806164621301</v>
      </c>
      <c r="K849" s="3">
        <v>75.224952634130588</v>
      </c>
    </row>
    <row r="850" spans="1:11" x14ac:dyDescent="0.2">
      <c r="A850" s="2" t="s">
        <v>87</v>
      </c>
      <c r="B850" s="2" t="s">
        <v>88</v>
      </c>
      <c r="C850" s="3">
        <v>2012</v>
      </c>
      <c r="D850" s="3">
        <v>41537.672861111678</v>
      </c>
      <c r="E850" s="3">
        <v>1.07450258731842</v>
      </c>
      <c r="F850" s="2"/>
      <c r="G850" s="3">
        <v>148136</v>
      </c>
      <c r="H850" s="4">
        <v>50199853</v>
      </c>
      <c r="I850" s="3">
        <v>3.8504</v>
      </c>
      <c r="J850" s="3">
        <v>101.5172720790502</v>
      </c>
      <c r="K850" s="3">
        <v>75.660698990878402</v>
      </c>
    </row>
    <row r="851" spans="1:11" x14ac:dyDescent="0.2">
      <c r="A851" s="2" t="s">
        <v>87</v>
      </c>
      <c r="B851" s="2" t="s">
        <v>88</v>
      </c>
      <c r="C851" s="3">
        <v>2013</v>
      </c>
      <c r="D851" s="3">
        <v>42709.975185788717</v>
      </c>
      <c r="E851" s="3">
        <v>1.0034042596817001</v>
      </c>
      <c r="F851" s="2"/>
      <c r="G851" s="3">
        <v>159978</v>
      </c>
      <c r="H851" s="4">
        <v>50428893</v>
      </c>
      <c r="I851" s="3">
        <v>3.9512399999999999</v>
      </c>
      <c r="J851" s="3">
        <v>94.167523585587261</v>
      </c>
      <c r="K851" s="3">
        <v>75.739225955253886</v>
      </c>
    </row>
    <row r="852" spans="1:11" x14ac:dyDescent="0.2">
      <c r="A852" s="2" t="s">
        <v>87</v>
      </c>
      <c r="B852" s="2" t="s">
        <v>88</v>
      </c>
      <c r="C852" s="3">
        <v>2014</v>
      </c>
      <c r="D852" s="3">
        <v>43806.925098566076</v>
      </c>
      <c r="E852" s="3">
        <v>1.0352879762649501</v>
      </c>
      <c r="F852" s="2"/>
      <c r="G852" s="3">
        <v>164073</v>
      </c>
      <c r="H852" s="4">
        <v>50746659</v>
      </c>
      <c r="I852" s="3">
        <v>4.0778600000000003</v>
      </c>
      <c r="J852" s="3">
        <v>86.934257797203855</v>
      </c>
      <c r="K852" s="3">
        <v>76.292835367736828</v>
      </c>
    </row>
    <row r="853" spans="1:11" x14ac:dyDescent="0.2">
      <c r="A853" s="2" t="s">
        <v>87</v>
      </c>
      <c r="B853" s="2" t="s">
        <v>88</v>
      </c>
      <c r="C853" s="3">
        <v>2015</v>
      </c>
      <c r="D853" s="3">
        <v>44849.106767088953</v>
      </c>
      <c r="E853" s="3">
        <v>0.97755205631256104</v>
      </c>
      <c r="F853" s="3">
        <v>4.4542398452758798</v>
      </c>
      <c r="G853" s="3">
        <v>167275</v>
      </c>
      <c r="H853" s="4">
        <v>51014947</v>
      </c>
      <c r="I853" s="3">
        <v>3.9782000000000002</v>
      </c>
      <c r="J853" s="3">
        <v>75.388177456490666</v>
      </c>
      <c r="K853" s="3">
        <v>76.828548037420092</v>
      </c>
    </row>
    <row r="854" spans="1:11" x14ac:dyDescent="0.2">
      <c r="A854" s="2" t="s">
        <v>87</v>
      </c>
      <c r="B854" s="2" t="s">
        <v>88</v>
      </c>
      <c r="C854" s="3">
        <v>2016</v>
      </c>
      <c r="D854" s="3">
        <v>46088.243078538333</v>
      </c>
      <c r="E854" s="3">
        <v>1.02125263214111</v>
      </c>
      <c r="F854" s="3">
        <v>4.3330998420715297</v>
      </c>
      <c r="G854" s="3">
        <v>163424</v>
      </c>
      <c r="H854" s="4">
        <v>51217803</v>
      </c>
      <c r="I854" s="3">
        <v>3.9870399999999999</v>
      </c>
      <c r="J854" s="3">
        <v>69.899722131691917</v>
      </c>
      <c r="K854" s="3">
        <v>76.344239632263168</v>
      </c>
    </row>
    <row r="855" spans="1:11" x14ac:dyDescent="0.2">
      <c r="A855" s="2" t="s">
        <v>87</v>
      </c>
      <c r="B855" s="2" t="s">
        <v>88</v>
      </c>
      <c r="C855" s="3">
        <v>2017</v>
      </c>
      <c r="D855" s="3">
        <v>47536.789856885123</v>
      </c>
      <c r="E855" s="3">
        <v>1.0291231870651201</v>
      </c>
      <c r="F855" s="3">
        <v>4.3282399177551296</v>
      </c>
      <c r="G855" s="3">
        <v>159084</v>
      </c>
      <c r="H855" s="4">
        <v>51361911</v>
      </c>
      <c r="I855" s="3">
        <v>4.2920600000000002</v>
      </c>
      <c r="J855" s="3">
        <v>73.192140826401612</v>
      </c>
      <c r="K855" s="3">
        <v>76.134635685556248</v>
      </c>
    </row>
    <row r="856" spans="1:11" x14ac:dyDescent="0.2">
      <c r="A856" s="2" t="s">
        <v>87</v>
      </c>
      <c r="B856" s="2" t="s">
        <v>88</v>
      </c>
      <c r="C856" s="3">
        <v>2018</v>
      </c>
      <c r="D856" s="3">
        <v>48834.447115773342</v>
      </c>
      <c r="E856" s="3">
        <v>1.1352561712264999</v>
      </c>
      <c r="F856" s="3">
        <v>4.4580798149108896</v>
      </c>
      <c r="G856" s="3">
        <v>162561</v>
      </c>
      <c r="H856" s="4">
        <v>51585058</v>
      </c>
      <c r="I856" s="3">
        <v>4.51633</v>
      </c>
      <c r="J856" s="3">
        <v>74.707516214082432</v>
      </c>
      <c r="K856" s="3">
        <v>76.737504882209294</v>
      </c>
    </row>
    <row r="857" spans="1:11" x14ac:dyDescent="0.2">
      <c r="A857" s="2" t="s">
        <v>87</v>
      </c>
      <c r="B857" s="2" t="s">
        <v>88</v>
      </c>
      <c r="C857" s="3">
        <v>2019</v>
      </c>
      <c r="D857" s="3">
        <v>49790.867988482147</v>
      </c>
      <c r="E857" s="3">
        <v>1.3325451612472501</v>
      </c>
      <c r="F857" s="3">
        <v>4.6846599578857404</v>
      </c>
      <c r="G857" s="3">
        <v>171603</v>
      </c>
      <c r="H857" s="4">
        <v>51764822</v>
      </c>
      <c r="I857" s="3">
        <v>4.6270300000000004</v>
      </c>
      <c r="J857" s="3">
        <v>71.447063240351099</v>
      </c>
      <c r="K857" s="3">
        <v>77.028527248078717</v>
      </c>
    </row>
    <row r="858" spans="1:11" x14ac:dyDescent="0.2">
      <c r="A858" s="2" t="s">
        <v>87</v>
      </c>
      <c r="B858" s="2" t="s">
        <v>88</v>
      </c>
      <c r="C858" s="3">
        <v>2020</v>
      </c>
      <c r="D858" s="3">
        <v>49374.092614802532</v>
      </c>
      <c r="E858" s="3">
        <v>1.3701868057251001</v>
      </c>
      <c r="F858" s="3">
        <v>4.8017201423645002</v>
      </c>
      <c r="G858" s="3">
        <v>180477</v>
      </c>
      <c r="H858" s="4">
        <v>51836239</v>
      </c>
      <c r="I858" s="3">
        <v>4.7957099999999997</v>
      </c>
      <c r="J858" s="3">
        <v>65.544957860620997</v>
      </c>
      <c r="K858" s="3">
        <v>77.475337141779775</v>
      </c>
    </row>
    <row r="859" spans="1:11" x14ac:dyDescent="0.2">
      <c r="A859" s="2" t="s">
        <v>87</v>
      </c>
      <c r="B859" s="2" t="s">
        <v>88</v>
      </c>
      <c r="C859" s="3">
        <v>2021</v>
      </c>
      <c r="D859" s="3">
        <v>51718.251865663107</v>
      </c>
      <c r="E859" s="3">
        <v>1.3656537532806401</v>
      </c>
      <c r="F859" s="3">
        <v>4.8662700653076199</v>
      </c>
      <c r="G859" s="3">
        <v>186245</v>
      </c>
      <c r="H859" s="4">
        <v>51769539</v>
      </c>
      <c r="I859" s="3">
        <v>4.9098800000000002</v>
      </c>
      <c r="J859" s="3">
        <v>75.306304761091226</v>
      </c>
      <c r="K859" s="3">
        <v>77.70944668354521</v>
      </c>
    </row>
    <row r="860" spans="1:11" x14ac:dyDescent="0.2">
      <c r="A860" s="2" t="s">
        <v>89</v>
      </c>
      <c r="B860" s="2" t="s">
        <v>90</v>
      </c>
      <c r="C860" s="3">
        <v>2000</v>
      </c>
      <c r="D860" s="3">
        <v>3638.46314292227</v>
      </c>
      <c r="E860" s="3">
        <v>-0.405962914228439</v>
      </c>
      <c r="F860" s="3">
        <v>3.50838994979858</v>
      </c>
      <c r="G860" s="3">
        <v>80</v>
      </c>
      <c r="H860" s="4">
        <v>4898362</v>
      </c>
      <c r="I860" s="3">
        <v>0.15637000000000001</v>
      </c>
      <c r="J860" s="3">
        <v>89.430931627030944</v>
      </c>
      <c r="K860" s="3">
        <v>64.64969734623017</v>
      </c>
    </row>
    <row r="861" spans="1:11" x14ac:dyDescent="0.2">
      <c r="A861" s="2" t="s">
        <v>89</v>
      </c>
      <c r="B861" s="2" t="s">
        <v>90</v>
      </c>
      <c r="C861" s="3">
        <v>2001</v>
      </c>
      <c r="D861" s="3">
        <v>3795.8905934412901</v>
      </c>
      <c r="E861" s="2"/>
      <c r="F861" s="3">
        <v>3.8541800975799601</v>
      </c>
      <c r="G861" s="3">
        <v>84</v>
      </c>
      <c r="H861" s="4">
        <v>4945073</v>
      </c>
      <c r="I861" s="3">
        <v>0.17188999999999999</v>
      </c>
      <c r="J861" s="3">
        <v>73.746912368796828</v>
      </c>
      <c r="K861" s="3">
        <v>65.523506622023802</v>
      </c>
    </row>
    <row r="862" spans="1:11" x14ac:dyDescent="0.2">
      <c r="A862" s="2" t="s">
        <v>89</v>
      </c>
      <c r="B862" s="2" t="s">
        <v>90</v>
      </c>
      <c r="C862" s="3">
        <v>2002</v>
      </c>
      <c r="D862" s="3">
        <v>3760.5323996525699</v>
      </c>
      <c r="E862" s="3">
        <v>-0.563407242298126</v>
      </c>
      <c r="F862" s="3">
        <v>4.4454598426818803</v>
      </c>
      <c r="G862" s="3">
        <v>123</v>
      </c>
      <c r="H862" s="4">
        <v>4990704</v>
      </c>
      <c r="I862" s="3">
        <v>0.1981</v>
      </c>
      <c r="J862" s="3">
        <v>82.920729021266652</v>
      </c>
      <c r="K862" s="3">
        <v>65.736113740079361</v>
      </c>
    </row>
    <row r="863" spans="1:11" x14ac:dyDescent="0.2">
      <c r="A863" s="2" t="s">
        <v>89</v>
      </c>
      <c r="B863" s="2" t="s">
        <v>90</v>
      </c>
      <c r="C863" s="3">
        <v>2003</v>
      </c>
      <c r="D863" s="3">
        <v>3982.9272201780159</v>
      </c>
      <c r="E863" s="3">
        <v>-0.55611586570739702</v>
      </c>
      <c r="F863" s="3">
        <v>4.4754199981689498</v>
      </c>
      <c r="G863" s="3">
        <v>179</v>
      </c>
      <c r="H863" s="4">
        <v>5043308</v>
      </c>
      <c r="I863" s="3">
        <v>0.22272</v>
      </c>
      <c r="J863" s="3">
        <v>83.932782807965538</v>
      </c>
      <c r="K863" s="3">
        <v>66.710891691468248</v>
      </c>
    </row>
    <row r="864" spans="1:11" x14ac:dyDescent="0.2">
      <c r="A864" s="2" t="s">
        <v>89</v>
      </c>
      <c r="B864" s="2" t="s">
        <v>90</v>
      </c>
      <c r="C864" s="3">
        <v>2004</v>
      </c>
      <c r="D864" s="3">
        <v>4211.5224830785719</v>
      </c>
      <c r="E864" s="3">
        <v>-0.657609522342682</v>
      </c>
      <c r="F864" s="3">
        <v>4.6224398612976101</v>
      </c>
      <c r="G864" s="2"/>
      <c r="H864" s="4">
        <v>5104713</v>
      </c>
      <c r="I864" s="3">
        <v>0.19925999999999999</v>
      </c>
      <c r="J864" s="3">
        <v>93.815732156730164</v>
      </c>
      <c r="K864" s="3">
        <v>66.658122718253964</v>
      </c>
    </row>
    <row r="865" spans="1:11" x14ac:dyDescent="0.2">
      <c r="A865" s="2" t="s">
        <v>89</v>
      </c>
      <c r="B865" s="2" t="s">
        <v>90</v>
      </c>
      <c r="C865" s="3">
        <v>2005</v>
      </c>
      <c r="D865" s="3">
        <v>4156.9584923011571</v>
      </c>
      <c r="E865" s="3">
        <v>-0.87567722797393799</v>
      </c>
      <c r="F865" s="3">
        <v>4.87383985519409</v>
      </c>
      <c r="G865" s="2"/>
      <c r="H865" s="4">
        <v>5162640</v>
      </c>
      <c r="I865" s="3">
        <v>0.19861000000000001</v>
      </c>
      <c r="J865" s="3">
        <v>95.084004630363779</v>
      </c>
      <c r="K865" s="3">
        <v>67.164741269841272</v>
      </c>
    </row>
    <row r="866" spans="1:11" x14ac:dyDescent="0.2">
      <c r="A866" s="2" t="s">
        <v>89</v>
      </c>
      <c r="B866" s="2" t="s">
        <v>90</v>
      </c>
      <c r="C866" s="3">
        <v>2006</v>
      </c>
      <c r="D866" s="3">
        <v>4240.1701779755431</v>
      </c>
      <c r="E866" s="3">
        <v>-0.81508147716522195</v>
      </c>
      <c r="F866" s="3">
        <v>5.5498600006103498</v>
      </c>
      <c r="G866" s="2"/>
      <c r="H866" s="4">
        <v>5218373</v>
      </c>
      <c r="I866" s="3">
        <v>0.23014000000000001</v>
      </c>
      <c r="J866" s="3">
        <v>120.7499817662726</v>
      </c>
      <c r="K866" s="3">
        <v>66.064344866071437</v>
      </c>
    </row>
    <row r="867" spans="1:11" x14ac:dyDescent="0.2">
      <c r="A867" s="2" t="s">
        <v>89</v>
      </c>
      <c r="B867" s="2" t="s">
        <v>90</v>
      </c>
      <c r="C867" s="3">
        <v>2007</v>
      </c>
      <c r="D867" s="3">
        <v>4558.7126789417189</v>
      </c>
      <c r="E867" s="3">
        <v>-0.78606402873992898</v>
      </c>
      <c r="F867" s="3">
        <v>6.4670000076293999</v>
      </c>
      <c r="G867" s="3">
        <v>155</v>
      </c>
      <c r="H867" s="4">
        <v>5268385</v>
      </c>
      <c r="I867" s="3">
        <v>0.23425000000000001</v>
      </c>
      <c r="J867" s="3">
        <v>137.0583878385626</v>
      </c>
      <c r="K867" s="3">
        <v>67.130804340277791</v>
      </c>
    </row>
    <row r="868" spans="1:11" x14ac:dyDescent="0.2">
      <c r="A868" s="2" t="s">
        <v>89</v>
      </c>
      <c r="B868" s="2" t="s">
        <v>90</v>
      </c>
      <c r="C868" s="3">
        <v>2008</v>
      </c>
      <c r="D868" s="3">
        <v>4894.9427801376032</v>
      </c>
      <c r="E868" s="3">
        <v>-0.79922616481780995</v>
      </c>
      <c r="F868" s="3">
        <v>5.9131898880004901</v>
      </c>
      <c r="G868" s="3">
        <v>135</v>
      </c>
      <c r="H868" s="4">
        <v>5318729</v>
      </c>
      <c r="I868" s="3">
        <v>0.19017000000000001</v>
      </c>
      <c r="J868" s="3">
        <v>146.10608223013861</v>
      </c>
      <c r="K868" s="3">
        <v>68.819623164682554</v>
      </c>
    </row>
    <row r="869" spans="1:11" x14ac:dyDescent="0.2">
      <c r="A869" s="2" t="s">
        <v>89</v>
      </c>
      <c r="B869" s="2" t="s">
        <v>90</v>
      </c>
      <c r="C869" s="3">
        <v>2009</v>
      </c>
      <c r="D869" s="3">
        <v>4969.9613272037359</v>
      </c>
      <c r="E869" s="3">
        <v>-0.96954619884491</v>
      </c>
      <c r="F869" s="3">
        <v>6.2326798439025897</v>
      </c>
      <c r="G869" s="3">
        <v>146</v>
      </c>
      <c r="H869" s="4">
        <v>5389643</v>
      </c>
      <c r="I869" s="3">
        <v>0.15997</v>
      </c>
      <c r="J869" s="3">
        <v>133.37915316795451</v>
      </c>
      <c r="K869" s="3">
        <v>70.000172470238098</v>
      </c>
    </row>
    <row r="870" spans="1:11" x14ac:dyDescent="0.2">
      <c r="A870" s="2" t="s">
        <v>89</v>
      </c>
      <c r="B870" s="2" t="s">
        <v>90</v>
      </c>
      <c r="C870" s="3">
        <v>2010</v>
      </c>
      <c r="D870" s="3">
        <v>4876.4796488648326</v>
      </c>
      <c r="E870" s="3">
        <v>-0.65676385164260898</v>
      </c>
      <c r="F870" s="3">
        <v>5.81883001327515</v>
      </c>
      <c r="G870" s="3">
        <v>134</v>
      </c>
      <c r="H870" s="4">
        <v>5467059</v>
      </c>
      <c r="I870" s="3">
        <v>0.15547</v>
      </c>
      <c r="J870" s="3">
        <v>133.2328504923326</v>
      </c>
      <c r="K870" s="3">
        <v>70.023236111111103</v>
      </c>
    </row>
    <row r="871" spans="1:11" x14ac:dyDescent="0.2">
      <c r="A871" s="2" t="s">
        <v>89</v>
      </c>
      <c r="B871" s="2" t="s">
        <v>90</v>
      </c>
      <c r="C871" s="3">
        <v>2011</v>
      </c>
      <c r="D871" s="3">
        <v>5092.851657516775</v>
      </c>
      <c r="E871" s="3">
        <v>-0.63623827695846602</v>
      </c>
      <c r="F871" s="3">
        <v>6.7906198501586896</v>
      </c>
      <c r="G871" s="3">
        <v>124</v>
      </c>
      <c r="H871" s="4">
        <v>5546587</v>
      </c>
      <c r="I871" s="3">
        <v>0.15633</v>
      </c>
      <c r="J871" s="3">
        <v>136.17984042049159</v>
      </c>
      <c r="K871" s="3">
        <v>70.734460912698424</v>
      </c>
    </row>
    <row r="872" spans="1:11" x14ac:dyDescent="0.2">
      <c r="A872" s="2" t="s">
        <v>89</v>
      </c>
      <c r="B872" s="2" t="s">
        <v>90</v>
      </c>
      <c r="C872" s="3">
        <v>2012</v>
      </c>
      <c r="D872" s="3">
        <v>4993.394316835278</v>
      </c>
      <c r="E872" s="3">
        <v>-0.64659321308135997</v>
      </c>
      <c r="F872" s="3">
        <v>7.3842301368713397</v>
      </c>
      <c r="G872" s="3">
        <v>110</v>
      </c>
      <c r="H872" s="4">
        <v>5652076</v>
      </c>
      <c r="I872" s="3">
        <v>0.1661</v>
      </c>
      <c r="J872" s="3">
        <v>139.67593784030919</v>
      </c>
      <c r="K872" s="3">
        <v>71.035549851190481</v>
      </c>
    </row>
    <row r="873" spans="1:11" x14ac:dyDescent="0.2">
      <c r="A873" s="2" t="s">
        <v>89</v>
      </c>
      <c r="B873" s="2" t="s">
        <v>90</v>
      </c>
      <c r="C873" s="3">
        <v>2013</v>
      </c>
      <c r="D873" s="3">
        <v>5418.5406199393456</v>
      </c>
      <c r="E873" s="3">
        <v>-0.64999008178710904</v>
      </c>
      <c r="F873" s="3">
        <v>6.7802000045776403</v>
      </c>
      <c r="G873" s="3">
        <v>111</v>
      </c>
      <c r="H873" s="4">
        <v>5777150</v>
      </c>
      <c r="I873" s="3">
        <v>0.14913999999999999</v>
      </c>
      <c r="J873" s="3">
        <v>134.02678564392161</v>
      </c>
      <c r="K873" s="3">
        <v>70.766632564484127</v>
      </c>
    </row>
    <row r="874" spans="1:11" x14ac:dyDescent="0.2">
      <c r="A874" s="2" t="s">
        <v>89</v>
      </c>
      <c r="B874" s="2" t="s">
        <v>90</v>
      </c>
      <c r="C874" s="3">
        <v>2014</v>
      </c>
      <c r="D874" s="3">
        <v>5513.7544695252027</v>
      </c>
      <c r="E874" s="3">
        <v>-0.87100726366043102</v>
      </c>
      <c r="F874" s="3">
        <v>5.5315999984741202</v>
      </c>
      <c r="G874" s="3">
        <v>132</v>
      </c>
      <c r="H874" s="4">
        <v>5905848</v>
      </c>
      <c r="I874" s="3">
        <v>0.12536</v>
      </c>
      <c r="J874" s="3">
        <v>125.1261810758334</v>
      </c>
      <c r="K874" s="3">
        <v>71.675740054563491</v>
      </c>
    </row>
    <row r="875" spans="1:11" x14ac:dyDescent="0.2">
      <c r="A875" s="2" t="s">
        <v>89</v>
      </c>
      <c r="B875" s="2" t="s">
        <v>90</v>
      </c>
      <c r="C875" s="3">
        <v>2015</v>
      </c>
      <c r="D875" s="3">
        <v>5600.214334284603</v>
      </c>
      <c r="E875" s="3">
        <v>-0.97884911298751798</v>
      </c>
      <c r="F875" s="3">
        <v>5.9855098724365199</v>
      </c>
      <c r="G875" s="3">
        <v>122</v>
      </c>
      <c r="H875" s="4">
        <v>6040036</v>
      </c>
      <c r="I875" s="3">
        <v>0.11903</v>
      </c>
      <c r="J875" s="3">
        <v>110.9615707146332</v>
      </c>
      <c r="K875" s="3">
        <v>71.803101190476184</v>
      </c>
    </row>
    <row r="876" spans="1:11" x14ac:dyDescent="0.2">
      <c r="A876" s="2" t="s">
        <v>89</v>
      </c>
      <c r="B876" s="2" t="s">
        <v>90</v>
      </c>
      <c r="C876" s="3">
        <v>2016</v>
      </c>
      <c r="D876" s="3">
        <v>5715.0104117900328</v>
      </c>
      <c r="E876" s="3">
        <v>-0.965182244777679</v>
      </c>
      <c r="F876" s="3">
        <v>6.5861501693725604</v>
      </c>
      <c r="G876" s="3">
        <v>84</v>
      </c>
      <c r="H876" s="4">
        <v>6175338</v>
      </c>
      <c r="I876" s="3">
        <v>0.11121</v>
      </c>
      <c r="J876" s="3">
        <v>105.8235740174064</v>
      </c>
      <c r="K876" s="3">
        <v>72.643913988095235</v>
      </c>
    </row>
    <row r="877" spans="1:11" x14ac:dyDescent="0.2">
      <c r="A877" s="2" t="s">
        <v>89</v>
      </c>
      <c r="B877" s="2" t="s">
        <v>90</v>
      </c>
      <c r="C877" s="3">
        <v>2017</v>
      </c>
      <c r="D877" s="3">
        <v>5861.2220004050323</v>
      </c>
      <c r="E877" s="3">
        <v>-0.75117963552474998</v>
      </c>
      <c r="F877" s="3">
        <v>6.0261898040771502</v>
      </c>
      <c r="G877" s="3">
        <v>137</v>
      </c>
      <c r="H877" s="4">
        <v>6306696</v>
      </c>
      <c r="I877" s="3">
        <v>0.10707</v>
      </c>
      <c r="J877" s="3">
        <v>100.6174458132578</v>
      </c>
      <c r="K877" s="3">
        <v>73.6602748263889</v>
      </c>
    </row>
    <row r="878" spans="1:11" x14ac:dyDescent="0.2">
      <c r="A878" s="2" t="s">
        <v>89</v>
      </c>
      <c r="B878" s="2" t="s">
        <v>90</v>
      </c>
      <c r="C878" s="3">
        <v>2018</v>
      </c>
      <c r="D878" s="3">
        <v>5951.8287675860574</v>
      </c>
      <c r="E878" s="3">
        <v>-0.64628857374191295</v>
      </c>
      <c r="F878" s="3">
        <v>5.5526700019836399</v>
      </c>
      <c r="G878" s="2"/>
      <c r="H878" s="4">
        <v>6444079</v>
      </c>
      <c r="I878" s="3">
        <v>0.10106999999999999</v>
      </c>
      <c r="J878" s="3">
        <v>98.875559901760781</v>
      </c>
      <c r="K878" s="3">
        <v>74.138483432539687</v>
      </c>
    </row>
    <row r="879" spans="1:11" x14ac:dyDescent="0.2">
      <c r="A879" s="2" t="s">
        <v>89</v>
      </c>
      <c r="B879" s="2" t="s">
        <v>90</v>
      </c>
      <c r="C879" s="3">
        <v>2019</v>
      </c>
      <c r="D879" s="3">
        <v>6087.6019382692702</v>
      </c>
      <c r="E879" s="3">
        <v>-0.73161840438842796</v>
      </c>
      <c r="F879" s="3">
        <v>5.0802597999572798</v>
      </c>
      <c r="G879" s="3">
        <v>92</v>
      </c>
      <c r="H879" s="4">
        <v>6590211</v>
      </c>
      <c r="I879" s="3">
        <v>8.5349999999999995E-2</v>
      </c>
      <c r="J879" s="3">
        <v>94.430282354293908</v>
      </c>
      <c r="K879" s="3">
        <v>74.182482167658733</v>
      </c>
    </row>
    <row r="880" spans="1:11" x14ac:dyDescent="0.2">
      <c r="A880" s="2" t="s">
        <v>89</v>
      </c>
      <c r="B880" s="2" t="s">
        <v>90</v>
      </c>
      <c r="C880" s="3">
        <v>2020</v>
      </c>
      <c r="D880" s="3">
        <v>5537.7954731937698</v>
      </c>
      <c r="E880" s="3">
        <v>-0.57632225751876798</v>
      </c>
      <c r="F880" s="3">
        <v>5.7331600189209002</v>
      </c>
      <c r="G880" s="3">
        <v>63</v>
      </c>
      <c r="H880" s="4">
        <v>6726596</v>
      </c>
      <c r="I880" s="3">
        <v>8.3559999999999995E-2</v>
      </c>
      <c r="J880" s="3">
        <v>78.992278430473831</v>
      </c>
      <c r="K880" s="3">
        <v>74.374719469246031</v>
      </c>
    </row>
    <row r="881" spans="1:11" x14ac:dyDescent="0.2">
      <c r="A881" s="2" t="s">
        <v>89</v>
      </c>
      <c r="B881" s="2" t="s">
        <v>90</v>
      </c>
      <c r="C881" s="3">
        <v>2021</v>
      </c>
      <c r="D881" s="3">
        <v>5736.4788341515396</v>
      </c>
      <c r="E881" s="3">
        <v>-0.77638739347457897</v>
      </c>
      <c r="F881" s="3">
        <v>5.1666798591613796</v>
      </c>
      <c r="G881" s="3">
        <v>83</v>
      </c>
      <c r="H881" s="4">
        <v>6851224</v>
      </c>
      <c r="I881" s="3">
        <v>7.102E-2</v>
      </c>
      <c r="J881" s="3">
        <v>100.2613768615693</v>
      </c>
      <c r="K881" s="3">
        <v>74.214399751984118</v>
      </c>
    </row>
    <row r="882" spans="1:11" x14ac:dyDescent="0.2">
      <c r="A882" s="2" t="s">
        <v>91</v>
      </c>
      <c r="B882" s="2" t="s">
        <v>92</v>
      </c>
      <c r="C882" s="3">
        <v>2000</v>
      </c>
      <c r="D882" s="3">
        <v>14554.21317240369</v>
      </c>
      <c r="E882" s="3">
        <v>0.20991490781307201</v>
      </c>
      <c r="F882" s="3">
        <v>5.4085497856140101</v>
      </c>
      <c r="G882" s="3">
        <v>98</v>
      </c>
      <c r="H882" s="4">
        <v>2367550</v>
      </c>
      <c r="I882" s="3">
        <v>0.43482999999999999</v>
      </c>
      <c r="J882" s="3">
        <v>83.612132110055583</v>
      </c>
      <c r="K882" s="3">
        <v>74.301737849079018</v>
      </c>
    </row>
    <row r="883" spans="1:11" x14ac:dyDescent="0.2">
      <c r="A883" s="2" t="s">
        <v>91</v>
      </c>
      <c r="B883" s="2" t="s">
        <v>92</v>
      </c>
      <c r="C883" s="3">
        <v>2001</v>
      </c>
      <c r="D883" s="3">
        <v>15695.90671815301</v>
      </c>
      <c r="E883" s="2"/>
      <c r="F883" s="3">
        <v>5.5610198974609402</v>
      </c>
      <c r="G883" s="3">
        <v>117</v>
      </c>
      <c r="H883" s="4">
        <v>2337170</v>
      </c>
      <c r="I883" s="3">
        <v>0.40262999999999999</v>
      </c>
      <c r="J883" s="3">
        <v>88.176827818424812</v>
      </c>
      <c r="K883" s="3">
        <v>74.477591668788733</v>
      </c>
    </row>
    <row r="884" spans="1:11" x14ac:dyDescent="0.2">
      <c r="A884" s="2" t="s">
        <v>91</v>
      </c>
      <c r="B884" s="2" t="s">
        <v>92</v>
      </c>
      <c r="C884" s="3">
        <v>2002</v>
      </c>
      <c r="D884" s="3">
        <v>17096.559444025501</v>
      </c>
      <c r="E884" s="3">
        <v>0.48678141832351701</v>
      </c>
      <c r="F884" s="3">
        <v>5.7891101837158203</v>
      </c>
      <c r="G884" s="3">
        <v>150</v>
      </c>
      <c r="H884" s="4">
        <v>2310173</v>
      </c>
      <c r="I884" s="3">
        <v>0.40843000000000002</v>
      </c>
      <c r="J884" s="3">
        <v>85.977205677819541</v>
      </c>
      <c r="K884" s="3">
        <v>74.754440917579146</v>
      </c>
    </row>
    <row r="885" spans="1:11" x14ac:dyDescent="0.2">
      <c r="A885" s="2" t="s">
        <v>91</v>
      </c>
      <c r="B885" s="2" t="s">
        <v>92</v>
      </c>
      <c r="C885" s="3">
        <v>2003</v>
      </c>
      <c r="D885" s="3">
        <v>18717.667552553768</v>
      </c>
      <c r="E885" s="3">
        <v>0.59832113981246904</v>
      </c>
      <c r="F885" s="3">
        <v>5.2944598197937003</v>
      </c>
      <c r="G885" s="3">
        <v>91</v>
      </c>
      <c r="H885" s="4">
        <v>2287955</v>
      </c>
      <c r="I885" s="3">
        <v>0.35930000000000001</v>
      </c>
      <c r="J885" s="3">
        <v>88.581558041867183</v>
      </c>
      <c r="K885" s="3">
        <v>74.39579161785926</v>
      </c>
    </row>
    <row r="886" spans="1:11" x14ac:dyDescent="0.2">
      <c r="A886" s="2" t="s">
        <v>91</v>
      </c>
      <c r="B886" s="2" t="s">
        <v>92</v>
      </c>
      <c r="C886" s="3">
        <v>2004</v>
      </c>
      <c r="D886" s="3">
        <v>20574.11820125104</v>
      </c>
      <c r="E886" s="3">
        <v>0.57441824674606301</v>
      </c>
      <c r="F886" s="3">
        <v>5.0468401908874503</v>
      </c>
      <c r="G886" s="3">
        <v>108</v>
      </c>
      <c r="H886" s="4">
        <v>2263122</v>
      </c>
      <c r="I886" s="3">
        <v>0.39839999999999998</v>
      </c>
      <c r="J886" s="3">
        <v>97.235265577174772</v>
      </c>
      <c r="K886" s="3">
        <v>76.007040157881349</v>
      </c>
    </row>
    <row r="887" spans="1:11" x14ac:dyDescent="0.2">
      <c r="A887" s="2" t="s">
        <v>91</v>
      </c>
      <c r="B887" s="2" t="s">
        <v>92</v>
      </c>
      <c r="C887" s="3">
        <v>2005</v>
      </c>
      <c r="D887" s="3">
        <v>23213.35393558806</v>
      </c>
      <c r="E887" s="3">
        <v>0.52981704473495495</v>
      </c>
      <c r="F887" s="2"/>
      <c r="G887" s="3">
        <v>112</v>
      </c>
      <c r="H887" s="4">
        <v>2238799</v>
      </c>
      <c r="I887" s="3">
        <v>0.52707000000000004</v>
      </c>
      <c r="J887" s="3">
        <v>104.5171566029184</v>
      </c>
      <c r="K887" s="3">
        <v>75.324996649265771</v>
      </c>
    </row>
    <row r="888" spans="1:11" x14ac:dyDescent="0.2">
      <c r="A888" s="2" t="s">
        <v>91</v>
      </c>
      <c r="B888" s="2" t="s">
        <v>92</v>
      </c>
      <c r="C888" s="3">
        <v>2006</v>
      </c>
      <c r="D888" s="3">
        <v>26431.814022276649</v>
      </c>
      <c r="E888" s="3">
        <v>0.65465825796127297</v>
      </c>
      <c r="F888" s="3">
        <v>4.9449000358581499</v>
      </c>
      <c r="G888" s="3">
        <v>114</v>
      </c>
      <c r="H888" s="4">
        <v>2218357</v>
      </c>
      <c r="I888" s="3">
        <v>0.64690999999999999</v>
      </c>
      <c r="J888" s="3">
        <v>105.6953420804555</v>
      </c>
      <c r="K888" s="3">
        <v>76.317244845513954</v>
      </c>
    </row>
    <row r="889" spans="1:11" x14ac:dyDescent="0.2">
      <c r="A889" s="2" t="s">
        <v>91</v>
      </c>
      <c r="B889" s="2" t="s">
        <v>92</v>
      </c>
      <c r="C889" s="3">
        <v>2007</v>
      </c>
      <c r="D889" s="3">
        <v>29423.737123506278</v>
      </c>
      <c r="E889" s="3">
        <v>0.42527824640273998</v>
      </c>
      <c r="F889" s="3">
        <v>4.8905901908874503</v>
      </c>
      <c r="G889" s="3">
        <v>139</v>
      </c>
      <c r="H889" s="4">
        <v>2200325</v>
      </c>
      <c r="I889" s="3">
        <v>0.55106999999999995</v>
      </c>
      <c r="J889" s="3">
        <v>100.88091087182789</v>
      </c>
      <c r="K889" s="3">
        <v>75.220009844240721</v>
      </c>
    </row>
    <row r="890" spans="1:11" x14ac:dyDescent="0.2">
      <c r="A890" s="2" t="s">
        <v>91</v>
      </c>
      <c r="B890" s="2" t="s">
        <v>92</v>
      </c>
      <c r="C890" s="3">
        <v>2008</v>
      </c>
      <c r="D890" s="3">
        <v>28726.972286952161</v>
      </c>
      <c r="E890" s="3">
        <v>0.52104717493057295</v>
      </c>
      <c r="F890" s="3">
        <v>5.6367101669311497</v>
      </c>
      <c r="G890" s="3">
        <v>206</v>
      </c>
      <c r="H890" s="4">
        <v>2177322</v>
      </c>
      <c r="I890" s="3">
        <v>0.57720000000000005</v>
      </c>
      <c r="J890" s="3">
        <v>95.768162843857056</v>
      </c>
      <c r="K890" s="3">
        <v>76.124685606060609</v>
      </c>
    </row>
    <row r="891" spans="1:11" x14ac:dyDescent="0.2">
      <c r="A891" s="2" t="s">
        <v>91</v>
      </c>
      <c r="B891" s="2" t="s">
        <v>92</v>
      </c>
      <c r="C891" s="3">
        <v>2009</v>
      </c>
      <c r="D891" s="3">
        <v>24520.679147548861</v>
      </c>
      <c r="E891" s="3">
        <v>0.619090795516968</v>
      </c>
      <c r="F891" s="3">
        <v>5.6772899627685502</v>
      </c>
      <c r="G891" s="3">
        <v>240</v>
      </c>
      <c r="H891" s="4">
        <v>2141669</v>
      </c>
      <c r="I891" s="3">
        <v>0.44857999999999998</v>
      </c>
      <c r="J891" s="3">
        <v>88.83204949636918</v>
      </c>
      <c r="K891" s="3">
        <v>77.478023015873006</v>
      </c>
    </row>
    <row r="892" spans="1:11" x14ac:dyDescent="0.2">
      <c r="A892" s="2" t="s">
        <v>91</v>
      </c>
      <c r="B892" s="2" t="s">
        <v>92</v>
      </c>
      <c r="C892" s="3">
        <v>2010</v>
      </c>
      <c r="D892" s="3">
        <v>24119.73078489392</v>
      </c>
      <c r="E892" s="3">
        <v>0.72277325391769398</v>
      </c>
      <c r="F892" s="3">
        <v>5.1435599327087402</v>
      </c>
      <c r="G892" s="3">
        <v>178</v>
      </c>
      <c r="H892" s="4">
        <v>2097555</v>
      </c>
      <c r="I892" s="3">
        <v>0.60570999999999997</v>
      </c>
      <c r="J892" s="3">
        <v>110.8623538627196</v>
      </c>
      <c r="K892" s="3">
        <v>77.681242021050849</v>
      </c>
    </row>
    <row r="893" spans="1:11" x14ac:dyDescent="0.2">
      <c r="A893" s="2" t="s">
        <v>91</v>
      </c>
      <c r="B893" s="2" t="s">
        <v>92</v>
      </c>
      <c r="C893" s="3">
        <v>2011</v>
      </c>
      <c r="D893" s="3">
        <v>25308.732207462599</v>
      </c>
      <c r="E893" s="3">
        <v>0.68927395343780495</v>
      </c>
      <c r="F893" s="3">
        <v>5.2431597709655797</v>
      </c>
      <c r="G893" s="3">
        <v>173</v>
      </c>
      <c r="H893" s="4">
        <v>2059709</v>
      </c>
      <c r="I893" s="3">
        <v>0.71562000000000003</v>
      </c>
      <c r="J893" s="3">
        <v>129.73475801448529</v>
      </c>
      <c r="K893" s="3">
        <v>77.980459649011124</v>
      </c>
    </row>
    <row r="894" spans="1:11" x14ac:dyDescent="0.2">
      <c r="A894" s="2" t="s">
        <v>91</v>
      </c>
      <c r="B894" s="2" t="s">
        <v>92</v>
      </c>
      <c r="C894" s="3">
        <v>2012</v>
      </c>
      <c r="D894" s="3">
        <v>27496.54545836354</v>
      </c>
      <c r="E894" s="3">
        <v>0.82834810018539395</v>
      </c>
      <c r="F894" s="3">
        <v>6.8385200500488299</v>
      </c>
      <c r="G894" s="3">
        <v>193</v>
      </c>
      <c r="H894" s="4">
        <v>2034319</v>
      </c>
      <c r="I894" s="3">
        <v>0.66307000000000005</v>
      </c>
      <c r="J894" s="3">
        <v>133.21150365095761</v>
      </c>
      <c r="K894" s="3">
        <v>78.598922918258225</v>
      </c>
    </row>
    <row r="895" spans="1:11" x14ac:dyDescent="0.2">
      <c r="A895" s="2" t="s">
        <v>91</v>
      </c>
      <c r="B895" s="2" t="s">
        <v>92</v>
      </c>
      <c r="C895" s="3">
        <v>2013</v>
      </c>
      <c r="D895" s="3">
        <v>28375.18428872629</v>
      </c>
      <c r="E895" s="3">
        <v>0.87935084104537997</v>
      </c>
      <c r="F895" s="3">
        <v>7.2496299743652299</v>
      </c>
      <c r="G895" s="3">
        <v>225</v>
      </c>
      <c r="H895" s="4">
        <v>2012647</v>
      </c>
      <c r="I895" s="3">
        <v>0.61321000000000003</v>
      </c>
      <c r="J895" s="3">
        <v>129.6771849290995</v>
      </c>
      <c r="K895" s="3">
        <v>78.568280262711141</v>
      </c>
    </row>
    <row r="896" spans="1:11" x14ac:dyDescent="0.2">
      <c r="A896" s="2" t="s">
        <v>91</v>
      </c>
      <c r="B896" s="2" t="s">
        <v>92</v>
      </c>
      <c r="C896" s="3">
        <v>2014</v>
      </c>
      <c r="D896" s="3">
        <v>29243.741250262861</v>
      </c>
      <c r="E896" s="3">
        <v>0.95084792375564597</v>
      </c>
      <c r="F896" s="3">
        <v>5.4747900962829599</v>
      </c>
      <c r="G896" s="3">
        <v>103</v>
      </c>
      <c r="H896" s="4">
        <v>1993782</v>
      </c>
      <c r="I896" s="3">
        <v>0.68908000000000003</v>
      </c>
      <c r="J896" s="3">
        <v>130.042252244959</v>
      </c>
      <c r="K896" s="3">
        <v>78.583587641117077</v>
      </c>
    </row>
    <row r="897" spans="1:11" x14ac:dyDescent="0.2">
      <c r="A897" s="2" t="s">
        <v>91</v>
      </c>
      <c r="B897" s="2" t="s">
        <v>92</v>
      </c>
      <c r="C897" s="3">
        <v>2015</v>
      </c>
      <c r="D897" s="3">
        <v>30599.613313414731</v>
      </c>
      <c r="E897" s="3">
        <v>1.0534099340438801</v>
      </c>
      <c r="F897" s="3">
        <v>5.4667000770568803</v>
      </c>
      <c r="G897" s="3">
        <v>136</v>
      </c>
      <c r="H897" s="4">
        <v>1977527</v>
      </c>
      <c r="I897" s="3">
        <v>0.61939999999999995</v>
      </c>
      <c r="J897" s="3">
        <v>126.3800144060062</v>
      </c>
      <c r="K897" s="3">
        <v>79.078485629403275</v>
      </c>
    </row>
    <row r="898" spans="1:11" x14ac:dyDescent="0.2">
      <c r="A898" s="2" t="s">
        <v>91</v>
      </c>
      <c r="B898" s="2" t="s">
        <v>92</v>
      </c>
      <c r="C898" s="3">
        <v>2016</v>
      </c>
      <c r="D898" s="3">
        <v>31668.51484426617</v>
      </c>
      <c r="E898" s="3">
        <v>0.96553802490234397</v>
      </c>
      <c r="F898" s="3">
        <v>4.8235001564025897</v>
      </c>
      <c r="G898" s="3">
        <v>95</v>
      </c>
      <c r="H898" s="4">
        <v>1959537</v>
      </c>
      <c r="I898" s="3">
        <v>0.43514000000000003</v>
      </c>
      <c r="J898" s="3">
        <v>123.33051842965931</v>
      </c>
      <c r="K898" s="3">
        <v>79.439188644851896</v>
      </c>
    </row>
    <row r="899" spans="1:11" x14ac:dyDescent="0.2">
      <c r="A899" s="2" t="s">
        <v>91</v>
      </c>
      <c r="B899" s="2" t="s">
        <v>92</v>
      </c>
      <c r="C899" s="3">
        <v>2017</v>
      </c>
      <c r="D899" s="3">
        <v>33036.391594343688</v>
      </c>
      <c r="E899" s="3">
        <v>0.86555397510528598</v>
      </c>
      <c r="F899" s="3">
        <v>4.5290598869323704</v>
      </c>
      <c r="G899" s="3">
        <v>90</v>
      </c>
      <c r="H899" s="4">
        <v>1942248</v>
      </c>
      <c r="I899" s="3">
        <v>0.51104000000000005</v>
      </c>
      <c r="J899" s="3">
        <v>128.71400332888399</v>
      </c>
      <c r="K899" s="3">
        <v>79.868973860453266</v>
      </c>
    </row>
    <row r="900" spans="1:11" x14ac:dyDescent="0.2">
      <c r="A900" s="2" t="s">
        <v>91</v>
      </c>
      <c r="B900" s="2" t="s">
        <v>92</v>
      </c>
      <c r="C900" s="3">
        <v>2018</v>
      </c>
      <c r="D900" s="3">
        <v>34729.706276305653</v>
      </c>
      <c r="E900" s="3">
        <v>1.0002850294113199</v>
      </c>
      <c r="F900" s="3">
        <v>4.3943099975585902</v>
      </c>
      <c r="G900" s="3">
        <v>86</v>
      </c>
      <c r="H900" s="4">
        <v>1927174</v>
      </c>
      <c r="I900" s="3">
        <v>0.63868999999999998</v>
      </c>
      <c r="J900" s="3">
        <v>128.23409555982201</v>
      </c>
      <c r="K900" s="3">
        <v>79.741357978949168</v>
      </c>
    </row>
    <row r="901" spans="1:11" x14ac:dyDescent="0.2">
      <c r="A901" s="2" t="s">
        <v>91</v>
      </c>
      <c r="B901" s="2" t="s">
        <v>92</v>
      </c>
      <c r="C901" s="3">
        <v>2019</v>
      </c>
      <c r="D901" s="3">
        <v>35208.193459085873</v>
      </c>
      <c r="E901" s="3">
        <v>1.06574690341949</v>
      </c>
      <c r="F901" s="3">
        <v>4.5867500305175799</v>
      </c>
      <c r="G901" s="3">
        <v>82</v>
      </c>
      <c r="H901" s="4">
        <v>1913822</v>
      </c>
      <c r="I901" s="3">
        <v>0.63846999999999998</v>
      </c>
      <c r="J901" s="3">
        <v>125.29163170793009</v>
      </c>
      <c r="K901" s="3">
        <v>80.645445488498439</v>
      </c>
    </row>
    <row r="902" spans="1:11" x14ac:dyDescent="0.2">
      <c r="A902" s="2" t="s">
        <v>91</v>
      </c>
      <c r="B902" s="2" t="s">
        <v>92</v>
      </c>
      <c r="C902" s="3">
        <v>2020</v>
      </c>
      <c r="D902" s="3">
        <v>34225.897604405807</v>
      </c>
      <c r="E902" s="3">
        <v>0.83809274435043302</v>
      </c>
      <c r="F902" s="3">
        <v>4.9974999427795401</v>
      </c>
      <c r="G902" s="3">
        <v>93</v>
      </c>
      <c r="H902" s="4">
        <v>1900449</v>
      </c>
      <c r="I902" s="3">
        <v>0.73438999999999999</v>
      </c>
      <c r="J902" s="3">
        <v>123.8831980465598</v>
      </c>
      <c r="K902" s="3">
        <v>80.647127641965895</v>
      </c>
    </row>
    <row r="903" spans="1:11" x14ac:dyDescent="0.2">
      <c r="A903" s="2" t="s">
        <v>91</v>
      </c>
      <c r="B903" s="2" t="s">
        <v>92</v>
      </c>
      <c r="C903" s="3">
        <v>2021</v>
      </c>
      <c r="D903" s="3">
        <v>36912.013060216057</v>
      </c>
      <c r="E903" s="3">
        <v>0.83294248580932595</v>
      </c>
      <c r="F903" s="3">
        <v>4.7675299644470197</v>
      </c>
      <c r="G903" s="3">
        <v>104</v>
      </c>
      <c r="H903" s="4">
        <v>1884490</v>
      </c>
      <c r="I903" s="3">
        <v>0.74621999999999999</v>
      </c>
      <c r="J903" s="3">
        <v>136.79661541481869</v>
      </c>
      <c r="K903" s="3">
        <v>80.690937388591792</v>
      </c>
    </row>
    <row r="904" spans="1:11" x14ac:dyDescent="0.2">
      <c r="A904" s="2" t="s">
        <v>93</v>
      </c>
      <c r="B904" s="2" t="s">
        <v>94</v>
      </c>
      <c r="C904" s="3">
        <v>2000</v>
      </c>
      <c r="D904" s="3">
        <v>15771.42695953277</v>
      </c>
      <c r="E904" s="3">
        <v>9.8632507026195498E-2</v>
      </c>
      <c r="F904" s="2"/>
      <c r="G904" s="3">
        <v>66</v>
      </c>
      <c r="H904" s="4">
        <v>3499536</v>
      </c>
      <c r="I904" s="3">
        <v>0.58552999999999999</v>
      </c>
      <c r="J904" s="3">
        <v>83.191494274811589</v>
      </c>
      <c r="K904" s="3">
        <v>72.032095774976668</v>
      </c>
    </row>
    <row r="905" spans="1:11" x14ac:dyDescent="0.2">
      <c r="A905" s="2" t="s">
        <v>93</v>
      </c>
      <c r="B905" s="2" t="s">
        <v>94</v>
      </c>
      <c r="C905" s="3">
        <v>2001</v>
      </c>
      <c r="D905" s="3">
        <v>16933.022549049601</v>
      </c>
      <c r="E905" s="2"/>
      <c r="F905" s="3">
        <v>5.8364400863647496</v>
      </c>
      <c r="G905" s="3">
        <v>68</v>
      </c>
      <c r="H905" s="4">
        <v>3470818</v>
      </c>
      <c r="I905" s="3">
        <v>0.66761999999999999</v>
      </c>
      <c r="J905" s="3">
        <v>93.487137368583646</v>
      </c>
      <c r="K905" s="3">
        <v>71.302678872761234</v>
      </c>
    </row>
    <row r="906" spans="1:11" x14ac:dyDescent="0.2">
      <c r="A906" s="2" t="s">
        <v>93</v>
      </c>
      <c r="B906" s="2" t="s">
        <v>94</v>
      </c>
      <c r="C906" s="3">
        <v>2002</v>
      </c>
      <c r="D906" s="3">
        <v>18216.54525812716</v>
      </c>
      <c r="E906" s="3">
        <v>0.494154572486877</v>
      </c>
      <c r="F906" s="3">
        <v>5.7909398078918501</v>
      </c>
      <c r="G906" s="3">
        <v>85</v>
      </c>
      <c r="H906" s="4">
        <v>3443067</v>
      </c>
      <c r="I906" s="3">
        <v>0.65754999999999997</v>
      </c>
      <c r="J906" s="3">
        <v>100.33222947481769</v>
      </c>
      <c r="K906" s="3">
        <v>72.356413502673789</v>
      </c>
    </row>
    <row r="907" spans="1:11" x14ac:dyDescent="0.2">
      <c r="A907" s="2" t="s">
        <v>93</v>
      </c>
      <c r="B907" s="2" t="s">
        <v>94</v>
      </c>
      <c r="C907" s="3">
        <v>2003</v>
      </c>
      <c r="D907" s="3">
        <v>20302.984879840271</v>
      </c>
      <c r="E907" s="3">
        <v>0.72968018054962203</v>
      </c>
      <c r="F907" s="3">
        <v>5.1067099571228001</v>
      </c>
      <c r="G907" s="3">
        <v>64</v>
      </c>
      <c r="H907" s="4">
        <v>3415213</v>
      </c>
      <c r="I907" s="3">
        <v>0.66413</v>
      </c>
      <c r="J907" s="3">
        <v>98.091404320671131</v>
      </c>
      <c r="K907" s="3">
        <v>72.589861705288172</v>
      </c>
    </row>
    <row r="908" spans="1:11" x14ac:dyDescent="0.2">
      <c r="A908" s="2" t="s">
        <v>93</v>
      </c>
      <c r="B908" s="2" t="s">
        <v>94</v>
      </c>
      <c r="C908" s="3">
        <v>2004</v>
      </c>
      <c r="D908" s="3">
        <v>21867.286146479069</v>
      </c>
      <c r="E908" s="3">
        <v>0.69137108325958296</v>
      </c>
      <c r="F908" s="3">
        <v>5.14797019958496</v>
      </c>
      <c r="G908" s="3">
        <v>70</v>
      </c>
      <c r="H908" s="4">
        <v>3377075</v>
      </c>
      <c r="I908" s="3">
        <v>0.75139999999999996</v>
      </c>
      <c r="J908" s="3">
        <v>104.0720706985433</v>
      </c>
      <c r="K908" s="3">
        <v>73.619798104999575</v>
      </c>
    </row>
    <row r="909" spans="1:11" x14ac:dyDescent="0.2">
      <c r="A909" s="2" t="s">
        <v>93</v>
      </c>
      <c r="B909" s="2" t="s">
        <v>94</v>
      </c>
      <c r="C909" s="3">
        <v>2005</v>
      </c>
      <c r="D909" s="3">
        <v>23944.701994871899</v>
      </c>
      <c r="E909" s="3">
        <v>0.75501132011413596</v>
      </c>
      <c r="F909" s="3">
        <v>4.8769898414611799</v>
      </c>
      <c r="G909" s="3">
        <v>68</v>
      </c>
      <c r="H909" s="4">
        <v>3322528</v>
      </c>
      <c r="I909" s="3">
        <v>0.74821000000000004</v>
      </c>
      <c r="J909" s="3">
        <v>117.4496911651857</v>
      </c>
      <c r="K909" s="3">
        <v>74.466076619132494</v>
      </c>
    </row>
    <row r="910" spans="1:11" x14ac:dyDescent="0.2">
      <c r="A910" s="2" t="s">
        <v>93</v>
      </c>
      <c r="B910" s="2" t="s">
        <v>94</v>
      </c>
      <c r="C910" s="3">
        <v>2006</v>
      </c>
      <c r="D910" s="3">
        <v>26129.339256693849</v>
      </c>
      <c r="E910" s="3">
        <v>0.71651649475097701</v>
      </c>
      <c r="F910" s="3">
        <v>4.83653020858765</v>
      </c>
      <c r="G910" s="3">
        <v>65</v>
      </c>
      <c r="H910" s="4">
        <v>3269909</v>
      </c>
      <c r="I910" s="3">
        <v>0.79203999999999997</v>
      </c>
      <c r="J910" s="3">
        <v>124.6136330472924</v>
      </c>
      <c r="K910" s="3">
        <v>74.796463848569715</v>
      </c>
    </row>
    <row r="911" spans="1:11" x14ac:dyDescent="0.2">
      <c r="A911" s="2" t="s">
        <v>93</v>
      </c>
      <c r="B911" s="2" t="s">
        <v>94</v>
      </c>
      <c r="C911" s="3">
        <v>2007</v>
      </c>
      <c r="D911" s="3">
        <v>29370.773973717609</v>
      </c>
      <c r="E911" s="3">
        <v>0.65576136112213101</v>
      </c>
      <c r="F911" s="3">
        <v>4.5915999412536603</v>
      </c>
      <c r="G911" s="3">
        <v>62</v>
      </c>
      <c r="H911" s="4">
        <v>3231294</v>
      </c>
      <c r="I911" s="3">
        <v>0.80174000000000001</v>
      </c>
      <c r="J911" s="3">
        <v>116.2958103281718</v>
      </c>
      <c r="K911" s="3">
        <v>74.749521449792041</v>
      </c>
    </row>
    <row r="912" spans="1:11" x14ac:dyDescent="0.2">
      <c r="A912" s="2" t="s">
        <v>93</v>
      </c>
      <c r="B912" s="2" t="s">
        <v>94</v>
      </c>
      <c r="C912" s="3">
        <v>2008</v>
      </c>
      <c r="D912" s="3">
        <v>30445.780946493622</v>
      </c>
      <c r="E912" s="3">
        <v>0.561739921569824</v>
      </c>
      <c r="F912" s="3">
        <v>4.8364901542663601</v>
      </c>
      <c r="G912" s="3">
        <v>87</v>
      </c>
      <c r="H912" s="4">
        <v>3198231</v>
      </c>
      <c r="I912" s="3">
        <v>0.78932000000000002</v>
      </c>
      <c r="J912" s="3">
        <v>126.7597078318407</v>
      </c>
      <c r="K912" s="3">
        <v>74.517034243697481</v>
      </c>
    </row>
    <row r="913" spans="1:11" x14ac:dyDescent="0.2">
      <c r="A913" s="2" t="s">
        <v>93</v>
      </c>
      <c r="B913" s="2" t="s">
        <v>94</v>
      </c>
      <c r="C913" s="3">
        <v>2009</v>
      </c>
      <c r="D913" s="3">
        <v>26217.544929389111</v>
      </c>
      <c r="E913" s="3">
        <v>0.68994230031967196</v>
      </c>
      <c r="F913" s="3">
        <v>5.5694198608398402</v>
      </c>
      <c r="G913" s="3">
        <v>91</v>
      </c>
      <c r="H913" s="4">
        <v>3162916</v>
      </c>
      <c r="I913" s="3">
        <v>0.83084000000000002</v>
      </c>
      <c r="J913" s="3">
        <v>105.0402512366138</v>
      </c>
      <c r="K913" s="3">
        <v>75.284061094134628</v>
      </c>
    </row>
    <row r="914" spans="1:11" x14ac:dyDescent="0.2">
      <c r="A914" s="2" t="s">
        <v>93</v>
      </c>
      <c r="B914" s="2" t="s">
        <v>94</v>
      </c>
      <c r="C914" s="3">
        <v>2010</v>
      </c>
      <c r="D914" s="3">
        <v>26887.49130577008</v>
      </c>
      <c r="E914" s="3">
        <v>0.73822760581970204</v>
      </c>
      <c r="F914" s="3">
        <v>5.3688001632690403</v>
      </c>
      <c r="G914" s="3">
        <v>108</v>
      </c>
      <c r="H914" s="4">
        <v>3097282</v>
      </c>
      <c r="I914" s="3">
        <v>0.7833</v>
      </c>
      <c r="J914" s="3">
        <v>131.6265073960088</v>
      </c>
      <c r="K914" s="3">
        <v>75.277809071810552</v>
      </c>
    </row>
    <row r="915" spans="1:11" x14ac:dyDescent="0.2">
      <c r="A915" s="2" t="s">
        <v>93</v>
      </c>
      <c r="B915" s="2" t="s">
        <v>94</v>
      </c>
      <c r="C915" s="3">
        <v>2011</v>
      </c>
      <c r="D915" s="3">
        <v>29240.748785139189</v>
      </c>
      <c r="E915" s="3">
        <v>0.69879889488220204</v>
      </c>
      <c r="F915" s="3">
        <v>5.1546998023986799</v>
      </c>
      <c r="G915" s="3">
        <v>93</v>
      </c>
      <c r="H915" s="4">
        <v>3028115</v>
      </c>
      <c r="I915" s="3">
        <v>0.90268999999999999</v>
      </c>
      <c r="J915" s="3">
        <v>149.64530692721539</v>
      </c>
      <c r="K915" s="3">
        <v>76.148421258806536</v>
      </c>
    </row>
    <row r="916" spans="1:11" x14ac:dyDescent="0.2">
      <c r="A916" s="2" t="s">
        <v>93</v>
      </c>
      <c r="B916" s="2" t="s">
        <v>94</v>
      </c>
      <c r="C916" s="3">
        <v>2012</v>
      </c>
      <c r="D916" s="3">
        <v>30920.33040220803</v>
      </c>
      <c r="E916" s="3">
        <v>0.82672995328903198</v>
      </c>
      <c r="F916" s="3">
        <v>4.7823200225830096</v>
      </c>
      <c r="G916" s="3">
        <v>109</v>
      </c>
      <c r="H916" s="4">
        <v>2989139</v>
      </c>
      <c r="I916" s="3">
        <v>0.89303999999999994</v>
      </c>
      <c r="J916" s="3">
        <v>156.63892565051279</v>
      </c>
      <c r="K916" s="3">
        <v>75.89867880485528</v>
      </c>
    </row>
    <row r="917" spans="1:11" x14ac:dyDescent="0.2">
      <c r="A917" s="2" t="s">
        <v>93</v>
      </c>
      <c r="B917" s="2" t="s">
        <v>94</v>
      </c>
      <c r="C917" s="3">
        <v>2013</v>
      </c>
      <c r="D917" s="3">
        <v>32474.64135335539</v>
      </c>
      <c r="E917" s="3">
        <v>0.82589977979660001</v>
      </c>
      <c r="F917" s="3">
        <v>4.6241698265075701</v>
      </c>
      <c r="G917" s="3">
        <v>117</v>
      </c>
      <c r="H917" s="4">
        <v>2961250</v>
      </c>
      <c r="I917" s="3">
        <v>0.94872000000000001</v>
      </c>
      <c r="J917" s="3">
        <v>156.62663792741799</v>
      </c>
      <c r="K917" s="3">
        <v>76.294529222901289</v>
      </c>
    </row>
    <row r="918" spans="1:11" x14ac:dyDescent="0.2">
      <c r="A918" s="2" t="s">
        <v>93</v>
      </c>
      <c r="B918" s="2" t="s">
        <v>94</v>
      </c>
      <c r="C918" s="3">
        <v>2014</v>
      </c>
      <c r="D918" s="3">
        <v>33975.08437569633</v>
      </c>
      <c r="E918" s="3">
        <v>0.97703623771667503</v>
      </c>
      <c r="F918" s="3">
        <v>4.5076699256896999</v>
      </c>
      <c r="G918" s="3">
        <v>123</v>
      </c>
      <c r="H918" s="4">
        <v>2937253</v>
      </c>
      <c r="I918" s="3">
        <v>1.0301100000000001</v>
      </c>
      <c r="J918" s="3">
        <v>143.2901157806939</v>
      </c>
      <c r="K918" s="3">
        <v>76.332839408793831</v>
      </c>
    </row>
    <row r="919" spans="1:11" x14ac:dyDescent="0.2">
      <c r="A919" s="2" t="s">
        <v>93</v>
      </c>
      <c r="B919" s="2" t="s">
        <v>94</v>
      </c>
      <c r="C919" s="3">
        <v>2015</v>
      </c>
      <c r="D919" s="3">
        <v>35251.298693177509</v>
      </c>
      <c r="E919" s="3">
        <v>1.15046727657318</v>
      </c>
      <c r="F919" s="3">
        <v>4.2164602279663104</v>
      </c>
      <c r="G919" s="3">
        <v>101</v>
      </c>
      <c r="H919" s="4">
        <v>2911109</v>
      </c>
      <c r="I919" s="3">
        <v>1.0434099999999999</v>
      </c>
      <c r="J919" s="3">
        <v>138.1955750096005</v>
      </c>
      <c r="K919" s="3">
        <v>77.099783119005181</v>
      </c>
    </row>
    <row r="920" spans="1:11" x14ac:dyDescent="0.2">
      <c r="A920" s="2" t="s">
        <v>93</v>
      </c>
      <c r="B920" s="2" t="s">
        <v>94</v>
      </c>
      <c r="C920" s="3">
        <v>2016</v>
      </c>
      <c r="D920" s="3">
        <v>36618.146841783782</v>
      </c>
      <c r="E920" s="3">
        <v>1.03285944461823</v>
      </c>
      <c r="F920" s="3">
        <v>4.0114398002624503</v>
      </c>
      <c r="G920" s="3">
        <v>95</v>
      </c>
      <c r="H920" s="4">
        <v>2877325</v>
      </c>
      <c r="I920" s="3">
        <v>0.84240999999999999</v>
      </c>
      <c r="J920" s="3">
        <v>134.69044965087701</v>
      </c>
      <c r="K920" s="3">
        <v>77.10609833418215</v>
      </c>
    </row>
    <row r="921" spans="1:11" x14ac:dyDescent="0.2">
      <c r="A921" s="2" t="s">
        <v>93</v>
      </c>
      <c r="B921" s="2" t="s">
        <v>94</v>
      </c>
      <c r="C921" s="3">
        <v>2017</v>
      </c>
      <c r="D921" s="3">
        <v>38774.489201182223</v>
      </c>
      <c r="E921" s="3">
        <v>0.92940282821655296</v>
      </c>
      <c r="F921" s="3">
        <v>3.81236004829407</v>
      </c>
      <c r="G921" s="3">
        <v>81</v>
      </c>
      <c r="H921" s="4">
        <v>2842639</v>
      </c>
      <c r="I921" s="3">
        <v>0.89625999999999995</v>
      </c>
      <c r="J921" s="3">
        <v>144.91839310132471</v>
      </c>
      <c r="K921" s="3">
        <v>77.250557796451915</v>
      </c>
    </row>
    <row r="922" spans="1:11" x14ac:dyDescent="0.2">
      <c r="A922" s="2" t="s">
        <v>93</v>
      </c>
      <c r="B922" s="2" t="s">
        <v>94</v>
      </c>
      <c r="C922" s="3">
        <v>2018</v>
      </c>
      <c r="D922" s="3">
        <v>41019.790163287762</v>
      </c>
      <c r="E922" s="3">
        <v>1.0314474105835001</v>
      </c>
      <c r="F922" s="3">
        <v>3.85628008842468</v>
      </c>
      <c r="G922" s="3">
        <v>81</v>
      </c>
      <c r="H922" s="4">
        <v>2819200</v>
      </c>
      <c r="I922" s="3">
        <v>0.93662000000000001</v>
      </c>
      <c r="J922" s="3">
        <v>147.202132525221</v>
      </c>
      <c r="K922" s="3">
        <v>76.659036993888463</v>
      </c>
    </row>
    <row r="923" spans="1:11" x14ac:dyDescent="0.2">
      <c r="A923" s="2" t="s">
        <v>93</v>
      </c>
      <c r="B923" s="2" t="s">
        <v>94</v>
      </c>
      <c r="C923" s="3">
        <v>2019</v>
      </c>
      <c r="D923" s="3">
        <v>43062.322842531452</v>
      </c>
      <c r="E923" s="3">
        <v>1.0076661109924301</v>
      </c>
      <c r="F923" s="3">
        <v>3.9415500164032</v>
      </c>
      <c r="G923" s="3">
        <v>90</v>
      </c>
      <c r="H923" s="4">
        <v>2811089</v>
      </c>
      <c r="I923" s="3">
        <v>0.99265999999999999</v>
      </c>
      <c r="J923" s="3">
        <v>148.3749960118185</v>
      </c>
      <c r="K923" s="3">
        <v>76.878813744588754</v>
      </c>
    </row>
    <row r="924" spans="1:11" x14ac:dyDescent="0.2">
      <c r="A924" s="2" t="s">
        <v>93</v>
      </c>
      <c r="B924" s="2" t="s">
        <v>94</v>
      </c>
      <c r="C924" s="3">
        <v>2020</v>
      </c>
      <c r="D924" s="3">
        <v>43091.797372352557</v>
      </c>
      <c r="E924" s="3">
        <v>1.0149097442627</v>
      </c>
      <c r="F924" s="3">
        <v>4.4734802246093803</v>
      </c>
      <c r="G924" s="3">
        <v>95</v>
      </c>
      <c r="H924" s="4">
        <v>2810369</v>
      </c>
      <c r="I924" s="3">
        <v>1.1326099999999999</v>
      </c>
      <c r="J924" s="3">
        <v>135.7965655635187</v>
      </c>
      <c r="K924" s="3">
        <v>77.872678700874289</v>
      </c>
    </row>
    <row r="925" spans="1:11" x14ac:dyDescent="0.2">
      <c r="A925" s="2" t="s">
        <v>93</v>
      </c>
      <c r="B925" s="2" t="s">
        <v>94</v>
      </c>
      <c r="C925" s="3">
        <v>2021</v>
      </c>
      <c r="D925" s="3">
        <v>45873.527323948569</v>
      </c>
      <c r="E925" s="3">
        <v>1.01744949817657</v>
      </c>
      <c r="F925" s="3">
        <v>4.2397799491882298</v>
      </c>
      <c r="G925" s="3">
        <v>81</v>
      </c>
      <c r="H925" s="4">
        <v>2808380</v>
      </c>
      <c r="I925" s="3">
        <v>1.10436</v>
      </c>
      <c r="J925" s="3">
        <v>154.80672767596951</v>
      </c>
      <c r="K925" s="3">
        <v>77.690405595874722</v>
      </c>
    </row>
    <row r="926" spans="1:11" x14ac:dyDescent="0.2">
      <c r="A926" s="2" t="s">
        <v>95</v>
      </c>
      <c r="B926" s="2" t="s">
        <v>96</v>
      </c>
      <c r="C926" s="3">
        <v>2000</v>
      </c>
      <c r="D926" s="3">
        <v>114141.5852956224</v>
      </c>
      <c r="E926" s="3">
        <v>1.89046895503998</v>
      </c>
      <c r="F926" s="2"/>
      <c r="G926" s="3">
        <v>85</v>
      </c>
      <c r="H926" s="4">
        <v>436300</v>
      </c>
      <c r="I926" s="3">
        <v>1.58314</v>
      </c>
      <c r="J926" s="3">
        <v>272.41232684534828</v>
      </c>
      <c r="K926" s="3">
        <v>69.431789935064941</v>
      </c>
    </row>
    <row r="927" spans="1:11" x14ac:dyDescent="0.2">
      <c r="A927" s="2" t="s">
        <v>95</v>
      </c>
      <c r="B927" s="2" t="s">
        <v>96</v>
      </c>
      <c r="C927" s="3">
        <v>2001</v>
      </c>
      <c r="D927" s="3">
        <v>116258.4268129258</v>
      </c>
      <c r="E927" s="2"/>
      <c r="F927" s="3">
        <v>3.5397300720214799</v>
      </c>
      <c r="G927" s="3">
        <v>51</v>
      </c>
      <c r="H927" s="4">
        <v>441525</v>
      </c>
      <c r="I927" s="2"/>
      <c r="J927" s="3">
        <v>270.76563044325712</v>
      </c>
      <c r="K927" s="3">
        <v>69.8611118596681</v>
      </c>
    </row>
    <row r="928" spans="1:11" x14ac:dyDescent="0.2">
      <c r="A928" s="2" t="s">
        <v>95</v>
      </c>
      <c r="B928" s="2" t="s">
        <v>96</v>
      </c>
      <c r="C928" s="3">
        <v>2002</v>
      </c>
      <c r="D928" s="3">
        <v>118757.5305262364</v>
      </c>
      <c r="E928" s="3">
        <v>1.9752564430236801</v>
      </c>
      <c r="F928" s="2"/>
      <c r="G928" s="3">
        <v>41</v>
      </c>
      <c r="H928" s="4">
        <v>446175</v>
      </c>
      <c r="I928" s="2"/>
      <c r="J928" s="3">
        <v>250.68919816142389</v>
      </c>
      <c r="K928" s="3">
        <v>71.060711341089458</v>
      </c>
    </row>
    <row r="929" spans="1:11" x14ac:dyDescent="0.2">
      <c r="A929" s="2" t="s">
        <v>95</v>
      </c>
      <c r="B929" s="2" t="s">
        <v>96</v>
      </c>
      <c r="C929" s="3">
        <v>2003</v>
      </c>
      <c r="D929" s="3">
        <v>120396.2578431787</v>
      </c>
      <c r="E929" s="3">
        <v>1.8560216426849401</v>
      </c>
      <c r="F929" s="2"/>
      <c r="G929" s="3">
        <v>16</v>
      </c>
      <c r="H929" s="4">
        <v>451630</v>
      </c>
      <c r="I929" s="3">
        <v>1.6234999999999999</v>
      </c>
      <c r="J929" s="3">
        <v>244.9779460605285</v>
      </c>
      <c r="K929" s="3">
        <v>70.820876939033184</v>
      </c>
    </row>
    <row r="930" spans="1:11" x14ac:dyDescent="0.2">
      <c r="A930" s="2" t="s">
        <v>95</v>
      </c>
      <c r="B930" s="2" t="s">
        <v>96</v>
      </c>
      <c r="C930" s="3">
        <v>2004</v>
      </c>
      <c r="D930" s="3">
        <v>123720.26149948841</v>
      </c>
      <c r="E930" s="3">
        <v>1.8773162364959699</v>
      </c>
      <c r="F930" s="2"/>
      <c r="G930" s="3">
        <v>23</v>
      </c>
      <c r="H930" s="4">
        <v>458095</v>
      </c>
      <c r="I930" s="3">
        <v>1.58819</v>
      </c>
      <c r="J930" s="3">
        <v>265.22688485563742</v>
      </c>
      <c r="K930" s="3">
        <v>71.341075897366537</v>
      </c>
    </row>
    <row r="931" spans="1:11" x14ac:dyDescent="0.2">
      <c r="A931" s="2" t="s">
        <v>95</v>
      </c>
      <c r="B931" s="2" t="s">
        <v>96</v>
      </c>
      <c r="C931" s="3">
        <v>2005</v>
      </c>
      <c r="D931" s="3">
        <v>124866.8588104123</v>
      </c>
      <c r="E931" s="3">
        <v>1.7720860242843599</v>
      </c>
      <c r="F931" s="2"/>
      <c r="G931" s="3">
        <v>24</v>
      </c>
      <c r="H931" s="4">
        <v>465158</v>
      </c>
      <c r="I931" s="3">
        <v>1.5587299999999999</v>
      </c>
      <c r="J931" s="3">
        <v>284.07747686947852</v>
      </c>
      <c r="K931" s="3">
        <v>71.833648809523808</v>
      </c>
    </row>
    <row r="932" spans="1:11" x14ac:dyDescent="0.2">
      <c r="A932" s="2" t="s">
        <v>95</v>
      </c>
      <c r="B932" s="2" t="s">
        <v>96</v>
      </c>
      <c r="C932" s="3">
        <v>2006</v>
      </c>
      <c r="D932" s="3">
        <v>130284.9675023805</v>
      </c>
      <c r="E932" s="3">
        <v>1.5668262243270901</v>
      </c>
      <c r="F932" s="2"/>
      <c r="G932" s="3">
        <v>26</v>
      </c>
      <c r="H932" s="4">
        <v>472637</v>
      </c>
      <c r="I932" s="3">
        <v>1.64886</v>
      </c>
      <c r="J932" s="3">
        <v>305.87954748852559</v>
      </c>
      <c r="K932" s="3">
        <v>72.687891754599576</v>
      </c>
    </row>
    <row r="933" spans="1:11" x14ac:dyDescent="0.2">
      <c r="A933" s="2" t="s">
        <v>95</v>
      </c>
      <c r="B933" s="2" t="s">
        <v>96</v>
      </c>
      <c r="C933" s="3">
        <v>2007</v>
      </c>
      <c r="D933" s="3">
        <v>138677.96549187589</v>
      </c>
      <c r="E933" s="3">
        <v>1.5860413312912001</v>
      </c>
      <c r="F933" s="2"/>
      <c r="G933" s="3">
        <v>15</v>
      </c>
      <c r="H933" s="4">
        <v>479993</v>
      </c>
      <c r="I933" s="3">
        <v>1.57165</v>
      </c>
      <c r="J933" s="3">
        <v>307.48502008519603</v>
      </c>
      <c r="K933" s="3">
        <v>72.39596965863997</v>
      </c>
    </row>
    <row r="934" spans="1:11" x14ac:dyDescent="0.2">
      <c r="A934" s="2" t="s">
        <v>95</v>
      </c>
      <c r="B934" s="2" t="s">
        <v>96</v>
      </c>
      <c r="C934" s="3">
        <v>2008</v>
      </c>
      <c r="D934" s="3">
        <v>135812.22230327019</v>
      </c>
      <c r="E934" s="3">
        <v>1.6166863441467301</v>
      </c>
      <c r="F934" s="2"/>
      <c r="G934" s="3">
        <v>48</v>
      </c>
      <c r="H934" s="4">
        <v>488650</v>
      </c>
      <c r="I934" s="3">
        <v>1.5466299999999999</v>
      </c>
      <c r="J934" s="3">
        <v>292.21348078342982</v>
      </c>
      <c r="K934" s="3">
        <v>72.635937254238826</v>
      </c>
    </row>
    <row r="935" spans="1:11" x14ac:dyDescent="0.2">
      <c r="A935" s="2" t="s">
        <v>95</v>
      </c>
      <c r="B935" s="2" t="s">
        <v>96</v>
      </c>
      <c r="C935" s="3">
        <v>2009</v>
      </c>
      <c r="D935" s="3">
        <v>129002.2401875167</v>
      </c>
      <c r="E935" s="3">
        <v>1.74351441860199</v>
      </c>
      <c r="F935" s="2"/>
      <c r="G935" s="3">
        <v>60</v>
      </c>
      <c r="H935" s="4">
        <v>497783</v>
      </c>
      <c r="I935" s="3">
        <v>1.58839</v>
      </c>
      <c r="J935" s="3">
        <v>263.53270154168388</v>
      </c>
      <c r="K935" s="3">
        <v>73.46915181727995</v>
      </c>
    </row>
    <row r="936" spans="1:11" x14ac:dyDescent="0.2">
      <c r="A936" s="2" t="s">
        <v>95</v>
      </c>
      <c r="B936" s="2" t="s">
        <v>96</v>
      </c>
      <c r="C936" s="3">
        <v>2010</v>
      </c>
      <c r="D936" s="3">
        <v>131432.05961631559</v>
      </c>
      <c r="E936" s="3">
        <v>1.7164180278778101</v>
      </c>
      <c r="F936" s="2"/>
      <c r="G936" s="3">
        <v>79</v>
      </c>
      <c r="H936" s="4">
        <v>506953</v>
      </c>
      <c r="I936" s="3">
        <v>1.4237299999999999</v>
      </c>
      <c r="J936" s="3">
        <v>293.67187690693862</v>
      </c>
      <c r="K936" s="3">
        <v>73.050016889880936</v>
      </c>
    </row>
    <row r="937" spans="1:11" x14ac:dyDescent="0.2">
      <c r="A937" s="2" t="s">
        <v>95</v>
      </c>
      <c r="B937" s="2" t="s">
        <v>96</v>
      </c>
      <c r="C937" s="3">
        <v>2011</v>
      </c>
      <c r="D937" s="3">
        <v>129885.36976070621</v>
      </c>
      <c r="E937" s="3">
        <v>1.74265909194946</v>
      </c>
      <c r="F937" s="2"/>
      <c r="G937" s="3">
        <v>85</v>
      </c>
      <c r="H937" s="4">
        <v>518347</v>
      </c>
      <c r="I937" s="3">
        <v>1.4245300000000001</v>
      </c>
      <c r="J937" s="3">
        <v>308.7144538741623</v>
      </c>
      <c r="K937" s="3">
        <v>73.074849416035363</v>
      </c>
    </row>
    <row r="938" spans="1:11" x14ac:dyDescent="0.2">
      <c r="A938" s="2" t="s">
        <v>95</v>
      </c>
      <c r="B938" s="2" t="s">
        <v>96</v>
      </c>
      <c r="C938" s="3">
        <v>2012</v>
      </c>
      <c r="D938" s="3">
        <v>128895.4051450476</v>
      </c>
      <c r="E938" s="3">
        <v>1.6636219024658201</v>
      </c>
      <c r="F938" s="3">
        <v>3.8781599998474099</v>
      </c>
      <c r="G938" s="3">
        <v>109</v>
      </c>
      <c r="H938" s="4">
        <v>530946</v>
      </c>
      <c r="I938" s="3">
        <v>1.2066399999999999</v>
      </c>
      <c r="J938" s="3">
        <v>311.78683520468599</v>
      </c>
      <c r="K938" s="3">
        <v>74.21182184117967</v>
      </c>
    </row>
    <row r="939" spans="1:11" x14ac:dyDescent="0.2">
      <c r="A939" s="2" t="s">
        <v>95</v>
      </c>
      <c r="B939" s="2" t="s">
        <v>96</v>
      </c>
      <c r="C939" s="3">
        <v>2013</v>
      </c>
      <c r="D939" s="3">
        <v>129945.4537836208</v>
      </c>
      <c r="E939" s="3">
        <v>1.6224220991134599</v>
      </c>
      <c r="F939" s="2"/>
      <c r="G939" s="3">
        <v>113</v>
      </c>
      <c r="H939" s="4">
        <v>543360</v>
      </c>
      <c r="I939" s="3">
        <v>1.2338100000000001</v>
      </c>
      <c r="J939" s="3">
        <v>320.53350631676813</v>
      </c>
      <c r="K939" s="3">
        <v>73.761188724296545</v>
      </c>
    </row>
    <row r="940" spans="1:11" x14ac:dyDescent="0.2">
      <c r="A940" s="2" t="s">
        <v>95</v>
      </c>
      <c r="B940" s="2" t="s">
        <v>96</v>
      </c>
      <c r="C940" s="3">
        <v>2014</v>
      </c>
      <c r="D940" s="3">
        <v>130247.66168706919</v>
      </c>
      <c r="E940" s="3">
        <v>1.6479401588439899</v>
      </c>
      <c r="F940" s="3">
        <v>3.8556900024414098</v>
      </c>
      <c r="G940" s="3">
        <v>128</v>
      </c>
      <c r="H940" s="4">
        <v>556319</v>
      </c>
      <c r="I940" s="3">
        <v>1.2170000000000001</v>
      </c>
      <c r="J940" s="3">
        <v>333.42885319668028</v>
      </c>
      <c r="K940" s="3">
        <v>74.371835984848474</v>
      </c>
    </row>
    <row r="941" spans="1:11" x14ac:dyDescent="0.2">
      <c r="A941" s="2" t="s">
        <v>95</v>
      </c>
      <c r="B941" s="2" t="s">
        <v>96</v>
      </c>
      <c r="C941" s="3">
        <v>2015</v>
      </c>
      <c r="D941" s="3">
        <v>130097.2561798004</v>
      </c>
      <c r="E941" s="3">
        <v>1.6927030086517301</v>
      </c>
      <c r="F941" s="3">
        <v>3.7679200172424299</v>
      </c>
      <c r="G941" s="3">
        <v>128</v>
      </c>
      <c r="H941" s="4">
        <v>569604</v>
      </c>
      <c r="I941" s="3">
        <v>1.2522599999999999</v>
      </c>
      <c r="J941" s="3">
        <v>351.13197436149011</v>
      </c>
      <c r="K941" s="3">
        <v>75.11366177173521</v>
      </c>
    </row>
    <row r="942" spans="1:11" x14ac:dyDescent="0.2">
      <c r="A942" s="2" t="s">
        <v>95</v>
      </c>
      <c r="B942" s="2" t="s">
        <v>96</v>
      </c>
      <c r="C942" s="3">
        <v>2016</v>
      </c>
      <c r="D942" s="3">
        <v>133661.6497291316</v>
      </c>
      <c r="E942" s="3">
        <v>1.6558916568756099</v>
      </c>
      <c r="F942" s="2"/>
      <c r="G942" s="3">
        <v>143</v>
      </c>
      <c r="H942" s="4">
        <v>582014</v>
      </c>
      <c r="I942" s="3">
        <v>1.2668999999999999</v>
      </c>
      <c r="J942" s="3">
        <v>348.43740937688881</v>
      </c>
      <c r="K942" s="3">
        <v>75.447577550054106</v>
      </c>
    </row>
    <row r="943" spans="1:11" x14ac:dyDescent="0.2">
      <c r="A943" s="2" t="s">
        <v>95</v>
      </c>
      <c r="B943" s="2" t="s">
        <v>96</v>
      </c>
      <c r="C943" s="3">
        <v>2017</v>
      </c>
      <c r="D943" s="3">
        <v>132169.83404536769</v>
      </c>
      <c r="E943" s="3">
        <v>1.6454429626464799</v>
      </c>
      <c r="F943" s="3">
        <v>3.4864599704742401</v>
      </c>
      <c r="G943" s="3">
        <v>156</v>
      </c>
      <c r="H943" s="4">
        <v>596336</v>
      </c>
      <c r="I943" s="3">
        <v>1.23898</v>
      </c>
      <c r="J943" s="3">
        <v>353.79399198030342</v>
      </c>
      <c r="K943" s="3">
        <v>75.224492505411263</v>
      </c>
    </row>
    <row r="944" spans="1:11" x14ac:dyDescent="0.2">
      <c r="A944" s="2" t="s">
        <v>95</v>
      </c>
      <c r="B944" s="2" t="s">
        <v>96</v>
      </c>
      <c r="C944" s="3">
        <v>2018</v>
      </c>
      <c r="D944" s="3">
        <v>131733.88464929981</v>
      </c>
      <c r="E944" s="3">
        <v>1.7364133596420299</v>
      </c>
      <c r="F944" s="3">
        <v>3.66211009025574</v>
      </c>
      <c r="G944" s="3">
        <v>152</v>
      </c>
      <c r="H944" s="4">
        <v>607950</v>
      </c>
      <c r="I944" s="3">
        <v>1.1718</v>
      </c>
      <c r="J944" s="3">
        <v>361.86544519866749</v>
      </c>
      <c r="K944" s="3">
        <v>75.444844085948802</v>
      </c>
    </row>
    <row r="945" spans="1:11" x14ac:dyDescent="0.2">
      <c r="A945" s="2" t="s">
        <v>95</v>
      </c>
      <c r="B945" s="2" t="s">
        <v>96</v>
      </c>
      <c r="C945" s="3">
        <v>2019</v>
      </c>
      <c r="D945" s="3">
        <v>132724.75274388809</v>
      </c>
      <c r="E945" s="3">
        <v>1.69548451900482</v>
      </c>
      <c r="F945" s="3">
        <v>3.7360699176788299</v>
      </c>
      <c r="G945" s="3">
        <v>117</v>
      </c>
      <c r="H945" s="4">
        <v>620001</v>
      </c>
      <c r="I945" s="3">
        <v>1.18177</v>
      </c>
      <c r="J945" s="3">
        <v>382.66078058442008</v>
      </c>
      <c r="K945" s="3">
        <v>76.347444489538233</v>
      </c>
    </row>
    <row r="946" spans="1:11" x14ac:dyDescent="0.2">
      <c r="A946" s="2" t="s">
        <v>95</v>
      </c>
      <c r="B946" s="2" t="s">
        <v>96</v>
      </c>
      <c r="C946" s="3">
        <v>2020</v>
      </c>
      <c r="D946" s="3">
        <v>129865.629988164</v>
      </c>
      <c r="E946" s="3">
        <v>1.7923889160156199</v>
      </c>
      <c r="F946" s="3">
        <v>3.8534998893737802</v>
      </c>
      <c r="G946" s="3">
        <v>129</v>
      </c>
      <c r="H946" s="4">
        <v>630419</v>
      </c>
      <c r="I946" s="3">
        <v>1.0958399999999999</v>
      </c>
      <c r="J946" s="3">
        <v>375.58139637643183</v>
      </c>
      <c r="K946" s="3">
        <v>77.723371935876628</v>
      </c>
    </row>
    <row r="947" spans="1:11" x14ac:dyDescent="0.2">
      <c r="A947" s="2" t="s">
        <v>95</v>
      </c>
      <c r="B947" s="2" t="s">
        <v>96</v>
      </c>
      <c r="C947" s="3">
        <v>2021</v>
      </c>
      <c r="D947" s="3">
        <v>136772.4437532922</v>
      </c>
      <c r="E947" s="3">
        <v>1.67725694179535</v>
      </c>
      <c r="F947" s="3">
        <v>3.7198901176452601</v>
      </c>
      <c r="G947" s="3">
        <v>112</v>
      </c>
      <c r="H947" s="4">
        <v>640064</v>
      </c>
      <c r="I947" s="3">
        <v>1.0411999999999999</v>
      </c>
      <c r="J947" s="3">
        <v>397.50618086797118</v>
      </c>
      <c r="K947" s="3">
        <v>76.712427272727268</v>
      </c>
    </row>
    <row r="948" spans="1:11" x14ac:dyDescent="0.2">
      <c r="A948" s="2" t="s">
        <v>97</v>
      </c>
      <c r="B948" s="2" t="s">
        <v>98</v>
      </c>
      <c r="C948" s="3">
        <v>2000</v>
      </c>
      <c r="D948" s="3">
        <v>1701.443202535824</v>
      </c>
      <c r="E948" s="3">
        <v>-0.59942561388015703</v>
      </c>
      <c r="F948" s="3">
        <v>2.4386899471282999</v>
      </c>
      <c r="G948" s="3">
        <v>7</v>
      </c>
      <c r="H948" s="4">
        <v>16516338</v>
      </c>
      <c r="I948" s="3">
        <v>0.10032000000000001</v>
      </c>
      <c r="J948" s="3">
        <v>42.777122663972463</v>
      </c>
      <c r="K948" s="3">
        <v>43.484749402068523</v>
      </c>
    </row>
    <row r="949" spans="1:11" x14ac:dyDescent="0.2">
      <c r="A949" s="2" t="s">
        <v>97</v>
      </c>
      <c r="B949" s="2" t="s">
        <v>98</v>
      </c>
      <c r="C949" s="3">
        <v>2001</v>
      </c>
      <c r="D949" s="3">
        <v>1748.5035092917769</v>
      </c>
      <c r="E949" s="2"/>
      <c r="F949" s="3">
        <v>2.7072000503539999</v>
      </c>
      <c r="G949" s="2"/>
      <c r="H949" s="4">
        <v>17032939</v>
      </c>
      <c r="I949" s="3">
        <v>0.18174999999999999</v>
      </c>
      <c r="J949" s="3">
        <v>41.035126092385887</v>
      </c>
      <c r="K949" s="3">
        <v>43.643016463764987</v>
      </c>
    </row>
    <row r="950" spans="1:11" x14ac:dyDescent="0.2">
      <c r="A950" s="2" t="s">
        <v>97</v>
      </c>
      <c r="B950" s="2" t="s">
        <v>98</v>
      </c>
      <c r="C950" s="3">
        <v>2002</v>
      </c>
      <c r="D950" s="3">
        <v>1486.4342974177109</v>
      </c>
      <c r="E950" s="3">
        <v>-0.32426404953002902</v>
      </c>
      <c r="F950" s="3">
        <v>2.23179006576538</v>
      </c>
      <c r="G950" s="3">
        <v>4</v>
      </c>
      <c r="H950" s="4">
        <v>17549913</v>
      </c>
      <c r="I950" s="3">
        <v>0.20172999999999999</v>
      </c>
      <c r="J950" s="3">
        <v>50.181691937929841</v>
      </c>
      <c r="K950" s="3">
        <v>44.298745164476038</v>
      </c>
    </row>
    <row r="951" spans="1:11" x14ac:dyDescent="0.2">
      <c r="A951" s="2" t="s">
        <v>97</v>
      </c>
      <c r="B951" s="2" t="s">
        <v>98</v>
      </c>
      <c r="C951" s="3">
        <v>2003</v>
      </c>
      <c r="D951" s="3">
        <v>1584.7492523236399</v>
      </c>
      <c r="E951" s="3">
        <v>-0.41608950495719899</v>
      </c>
      <c r="F951" s="3">
        <v>2.61094999313354</v>
      </c>
      <c r="G951" s="3">
        <v>3</v>
      </c>
      <c r="H951" s="4">
        <v>18071854</v>
      </c>
      <c r="I951" s="3">
        <v>0.29070000000000001</v>
      </c>
      <c r="J951" s="3">
        <v>34.030602917474987</v>
      </c>
      <c r="K951" s="3">
        <v>44.95175088881706</v>
      </c>
    </row>
    <row r="952" spans="1:11" x14ac:dyDescent="0.2">
      <c r="A952" s="2" t="s">
        <v>97</v>
      </c>
      <c r="B952" s="2" t="s">
        <v>98</v>
      </c>
      <c r="C952" s="3">
        <v>2004</v>
      </c>
      <c r="D952" s="3">
        <v>1620.1195379329311</v>
      </c>
      <c r="E952" s="3">
        <v>-0.58785867691039995</v>
      </c>
      <c r="F952" s="3">
        <v>2.8126199245452899</v>
      </c>
      <c r="G952" s="3">
        <v>16</v>
      </c>
      <c r="H952" s="4">
        <v>18606608</v>
      </c>
      <c r="I952" s="3">
        <v>0.19259999999999999</v>
      </c>
      <c r="J952" s="3">
        <v>48.775381885215637</v>
      </c>
      <c r="K952" s="3">
        <v>45.17051070171658</v>
      </c>
    </row>
    <row r="953" spans="1:11" x14ac:dyDescent="0.2">
      <c r="A953" s="2" t="s">
        <v>97</v>
      </c>
      <c r="B953" s="2" t="s">
        <v>98</v>
      </c>
      <c r="C953" s="3">
        <v>2005</v>
      </c>
      <c r="D953" s="3">
        <v>1648.176315540089</v>
      </c>
      <c r="E953" s="3">
        <v>-0.38015428185463002</v>
      </c>
      <c r="F953" s="3">
        <v>3.3096399307250999</v>
      </c>
      <c r="G953" s="3">
        <v>7</v>
      </c>
      <c r="H953" s="4">
        <v>19159707</v>
      </c>
      <c r="I953" s="3">
        <v>0.15096000000000001</v>
      </c>
      <c r="J953" s="3">
        <v>59.130084935767698</v>
      </c>
      <c r="K953" s="3">
        <v>47.309853223084097</v>
      </c>
    </row>
    <row r="954" spans="1:11" x14ac:dyDescent="0.2">
      <c r="A954" s="2" t="s">
        <v>97</v>
      </c>
      <c r="B954" s="2" t="s">
        <v>98</v>
      </c>
      <c r="C954" s="3">
        <v>2006</v>
      </c>
      <c r="D954" s="3">
        <v>1686.8633546001649</v>
      </c>
      <c r="E954" s="3">
        <v>-0.65542256832122803</v>
      </c>
      <c r="F954" s="3">
        <v>2.8309700489044198</v>
      </c>
      <c r="G954" s="3">
        <v>4</v>
      </c>
      <c r="H954" s="4">
        <v>19730909</v>
      </c>
      <c r="I954" s="3">
        <v>0.14119000000000001</v>
      </c>
      <c r="J954" s="3">
        <v>62.102838937024437</v>
      </c>
      <c r="K954" s="3">
        <v>47.512017760181003</v>
      </c>
    </row>
    <row r="955" spans="1:11" x14ac:dyDescent="0.2">
      <c r="A955" s="2" t="s">
        <v>97</v>
      </c>
      <c r="B955" s="2" t="s">
        <v>98</v>
      </c>
      <c r="C955" s="3">
        <v>2007</v>
      </c>
      <c r="D955" s="3">
        <v>1731.6175179497559</v>
      </c>
      <c r="E955" s="3">
        <v>-0.49980899691581698</v>
      </c>
      <c r="F955" s="3">
        <v>2.9027400016784699</v>
      </c>
      <c r="G955" s="3">
        <v>9</v>
      </c>
      <c r="H955" s="4">
        <v>20318583</v>
      </c>
      <c r="I955" s="3">
        <v>0.12091</v>
      </c>
      <c r="J955" s="3">
        <v>66.702735357004897</v>
      </c>
      <c r="K955" s="3">
        <v>47.683150219061993</v>
      </c>
    </row>
    <row r="956" spans="1:11" x14ac:dyDescent="0.2">
      <c r="A956" s="2" t="s">
        <v>97</v>
      </c>
      <c r="B956" s="2" t="s">
        <v>98</v>
      </c>
      <c r="C956" s="3">
        <v>2008</v>
      </c>
      <c r="D956" s="3">
        <v>1794.4023588732921</v>
      </c>
      <c r="E956" s="3">
        <v>-0.68433225154876698</v>
      </c>
      <c r="F956" s="3">
        <v>2.5543398857116699</v>
      </c>
      <c r="G956" s="3">
        <v>14</v>
      </c>
      <c r="H956" s="4">
        <v>20923840</v>
      </c>
      <c r="I956" s="3">
        <v>0.11763999999999999</v>
      </c>
      <c r="J956" s="3">
        <v>74.357353960806023</v>
      </c>
      <c r="K956" s="3">
        <v>48.008356952524593</v>
      </c>
    </row>
    <row r="957" spans="1:11" x14ac:dyDescent="0.2">
      <c r="A957" s="2" t="s">
        <v>97</v>
      </c>
      <c r="B957" s="2" t="s">
        <v>98</v>
      </c>
      <c r="C957" s="3">
        <v>2009</v>
      </c>
      <c r="D957" s="3">
        <v>1673.1555146672331</v>
      </c>
      <c r="E957" s="3">
        <v>-0.84121167659759499</v>
      </c>
      <c r="F957" s="3">
        <v>2.8251299858093302</v>
      </c>
      <c r="G957" s="3">
        <v>1</v>
      </c>
      <c r="H957" s="4">
        <v>21547280</v>
      </c>
      <c r="I957" s="3">
        <v>0.13053999999999999</v>
      </c>
      <c r="J957" s="3">
        <v>62.411697595819618</v>
      </c>
      <c r="K957" s="3">
        <v>48.226530790777844</v>
      </c>
    </row>
    <row r="958" spans="1:11" x14ac:dyDescent="0.2">
      <c r="A958" s="2" t="s">
        <v>97</v>
      </c>
      <c r="B958" s="2" t="s">
        <v>98</v>
      </c>
      <c r="C958" s="3">
        <v>2010</v>
      </c>
      <c r="D958" s="3">
        <v>1635.2451147305881</v>
      </c>
      <c r="E958" s="3">
        <v>-0.99521386623382602</v>
      </c>
      <c r="F958" s="3">
        <v>2.2885615114816802</v>
      </c>
      <c r="G958" s="3">
        <v>9</v>
      </c>
      <c r="H958" s="4">
        <v>22183340</v>
      </c>
      <c r="I958" s="3">
        <v>9.9030000000000007E-2</v>
      </c>
      <c r="J958" s="3">
        <v>57.874894510180653</v>
      </c>
      <c r="K958" s="3">
        <v>48.535901045033398</v>
      </c>
    </row>
    <row r="959" spans="1:11" x14ac:dyDescent="0.2">
      <c r="A959" s="2" t="s">
        <v>97</v>
      </c>
      <c r="B959" s="2" t="s">
        <v>98</v>
      </c>
      <c r="C959" s="3">
        <v>2011</v>
      </c>
      <c r="D959" s="3">
        <v>1614.551377737849</v>
      </c>
      <c r="E959" s="3">
        <v>-1.06907939910889</v>
      </c>
      <c r="F959" s="3">
        <v>2.3816800117492698</v>
      </c>
      <c r="G959" s="3">
        <v>3</v>
      </c>
      <c r="H959" s="4">
        <v>22822300</v>
      </c>
      <c r="I959" s="3">
        <v>9.0670000000000001E-2</v>
      </c>
      <c r="J959" s="3">
        <v>56.483092595189312</v>
      </c>
      <c r="K959" s="3">
        <v>49.004959412482947</v>
      </c>
    </row>
    <row r="960" spans="1:11" x14ac:dyDescent="0.2">
      <c r="A960" s="2" t="s">
        <v>97</v>
      </c>
      <c r="B960" s="2" t="s">
        <v>98</v>
      </c>
      <c r="C960" s="3">
        <v>2012</v>
      </c>
      <c r="D960" s="3">
        <v>1617.79082882481</v>
      </c>
      <c r="E960" s="3">
        <v>-1.11727750301361</v>
      </c>
      <c r="F960" s="3">
        <v>2.34067010879517</v>
      </c>
      <c r="G960" s="3">
        <v>4</v>
      </c>
      <c r="H960" s="4">
        <v>23462438</v>
      </c>
      <c r="I960" s="2"/>
      <c r="J960" s="3">
        <v>52.651714081125469</v>
      </c>
      <c r="K960" s="3">
        <v>49.580649768368879</v>
      </c>
    </row>
    <row r="961" spans="1:11" x14ac:dyDescent="0.2">
      <c r="A961" s="2" t="s">
        <v>97</v>
      </c>
      <c r="B961" s="2" t="s">
        <v>98</v>
      </c>
      <c r="C961" s="3">
        <v>2013</v>
      </c>
      <c r="D961" s="3">
        <v>1610.6023078965979</v>
      </c>
      <c r="E961" s="3">
        <v>-1.14748251438141</v>
      </c>
      <c r="F961" s="3">
        <v>1.7769399881362899</v>
      </c>
      <c r="G961" s="3">
        <v>4</v>
      </c>
      <c r="H961" s="4">
        <v>24109290</v>
      </c>
      <c r="I961" s="2"/>
      <c r="J961" s="3">
        <v>56.367581790093169</v>
      </c>
      <c r="K961" s="3">
        <v>48.983143201896141</v>
      </c>
    </row>
    <row r="962" spans="1:11" x14ac:dyDescent="0.2">
      <c r="A962" s="2" t="s">
        <v>97</v>
      </c>
      <c r="B962" s="2" t="s">
        <v>98</v>
      </c>
      <c r="C962" s="3">
        <v>2014</v>
      </c>
      <c r="D962" s="3">
        <v>1620.357889066004</v>
      </c>
      <c r="E962" s="3">
        <v>-1.32273769378662</v>
      </c>
      <c r="F962" s="3">
        <v>2.3812301158904998</v>
      </c>
      <c r="G962" s="3">
        <v>5</v>
      </c>
      <c r="H962" s="4">
        <v>24764348</v>
      </c>
      <c r="I962" s="3">
        <v>1.321E-2</v>
      </c>
      <c r="J962" s="3">
        <v>61.969432211123348</v>
      </c>
      <c r="K962" s="3">
        <v>49.620742070674432</v>
      </c>
    </row>
    <row r="963" spans="1:11" x14ac:dyDescent="0.2">
      <c r="A963" s="2" t="s">
        <v>97</v>
      </c>
      <c r="B963" s="2" t="s">
        <v>98</v>
      </c>
      <c r="C963" s="3">
        <v>2015</v>
      </c>
      <c r="D963" s="3">
        <v>1627.5806134224019</v>
      </c>
      <c r="E963" s="3">
        <v>-1.3320825099945099</v>
      </c>
      <c r="F963" s="3">
        <v>2.2101199626922599</v>
      </c>
      <c r="G963" s="3">
        <v>3</v>
      </c>
      <c r="H963" s="4">
        <v>25426702</v>
      </c>
      <c r="I963" s="2"/>
      <c r="J963" s="3">
        <v>61.220378836507813</v>
      </c>
      <c r="K963" s="3">
        <v>49.583699481074483</v>
      </c>
    </row>
    <row r="964" spans="1:11" x14ac:dyDescent="0.2">
      <c r="A964" s="2" t="s">
        <v>97</v>
      </c>
      <c r="B964" s="2" t="s">
        <v>98</v>
      </c>
      <c r="C964" s="3">
        <v>2016</v>
      </c>
      <c r="D964" s="3">
        <v>1648.9122697929581</v>
      </c>
      <c r="E964" s="3">
        <v>-1.2286473512649501</v>
      </c>
      <c r="F964" s="3">
        <v>2.6871900558471702</v>
      </c>
      <c r="G964" s="3">
        <v>6</v>
      </c>
      <c r="H964" s="4">
        <v>26099952</v>
      </c>
      <c r="I964" s="3">
        <v>1.264E-2</v>
      </c>
      <c r="J964" s="3">
        <v>60.834698483142333</v>
      </c>
      <c r="K964" s="3">
        <v>49.430684505853627</v>
      </c>
    </row>
    <row r="965" spans="1:11" x14ac:dyDescent="0.2">
      <c r="A965" s="2" t="s">
        <v>97</v>
      </c>
      <c r="B965" s="2" t="s">
        <v>98</v>
      </c>
      <c r="C965" s="3">
        <v>2017</v>
      </c>
      <c r="D965" s="3">
        <v>1669.727642672779</v>
      </c>
      <c r="E965" s="3">
        <v>-1.1945153474807699</v>
      </c>
      <c r="F965" s="3">
        <v>2.7013741670756701</v>
      </c>
      <c r="G965" s="3">
        <v>9</v>
      </c>
      <c r="H965" s="4">
        <v>26788375</v>
      </c>
      <c r="I965" s="3">
        <v>1.2749999999999999E-2</v>
      </c>
      <c r="J965" s="3">
        <v>65.343401507291475</v>
      </c>
      <c r="K965" s="3">
        <v>49.689293584356818</v>
      </c>
    </row>
    <row r="966" spans="1:11" x14ac:dyDescent="0.2">
      <c r="A966" s="2" t="s">
        <v>97</v>
      </c>
      <c r="B966" s="2" t="s">
        <v>98</v>
      </c>
      <c r="C966" s="3">
        <v>2018</v>
      </c>
      <c r="D966" s="3">
        <v>1678.7862326949121</v>
      </c>
      <c r="E966" s="3">
        <v>-1.2121435403823899</v>
      </c>
      <c r="F966" s="3">
        <v>2.8440999984741202</v>
      </c>
      <c r="G966" s="3">
        <v>9</v>
      </c>
      <c r="H966" s="4">
        <v>27494926</v>
      </c>
      <c r="I966" s="2"/>
      <c r="J966" s="3">
        <v>67.841504668358212</v>
      </c>
      <c r="K966" s="3">
        <v>50.836091451195863</v>
      </c>
    </row>
    <row r="967" spans="1:11" x14ac:dyDescent="0.2">
      <c r="A967" s="2" t="s">
        <v>97</v>
      </c>
      <c r="B967" s="2" t="s">
        <v>98</v>
      </c>
      <c r="C967" s="3">
        <v>2019</v>
      </c>
      <c r="D967" s="3">
        <v>1707.8315383003901</v>
      </c>
      <c r="E967" s="3">
        <v>-1.1933969259262101</v>
      </c>
      <c r="F967" s="3">
        <v>3.0133838989772799</v>
      </c>
      <c r="G967" s="2"/>
      <c r="H967" s="4">
        <v>28219554</v>
      </c>
      <c r="I967" s="2"/>
      <c r="J967" s="3">
        <v>62.601323045712803</v>
      </c>
      <c r="K967" s="3">
        <v>50.4568142480069</v>
      </c>
    </row>
    <row r="968" spans="1:11" x14ac:dyDescent="0.2">
      <c r="A968" s="2" t="s">
        <v>97</v>
      </c>
      <c r="B968" s="2" t="s">
        <v>98</v>
      </c>
      <c r="C968" s="3">
        <v>2020</v>
      </c>
      <c r="D968" s="3">
        <v>1545.727143792039</v>
      </c>
      <c r="E968" s="3">
        <v>-1.0530357360839799</v>
      </c>
      <c r="F968" s="3">
        <v>3.2544338510363602</v>
      </c>
      <c r="G968" s="3">
        <v>6</v>
      </c>
      <c r="H968" s="4">
        <v>28953556</v>
      </c>
      <c r="I968" s="2"/>
      <c r="J968" s="3">
        <v>49.010707366437103</v>
      </c>
      <c r="K968" s="3">
        <v>50.555443295266826</v>
      </c>
    </row>
    <row r="969" spans="1:11" x14ac:dyDescent="0.2">
      <c r="A969" s="2" t="s">
        <v>97</v>
      </c>
      <c r="B969" s="2" t="s">
        <v>98</v>
      </c>
      <c r="C969" s="3">
        <v>2021</v>
      </c>
      <c r="D969" s="3">
        <v>1577.432460565288</v>
      </c>
      <c r="E969" s="3">
        <v>-1.0279166698455799</v>
      </c>
      <c r="F969" s="3">
        <v>3.1980754211722502</v>
      </c>
      <c r="G969" s="3">
        <v>6</v>
      </c>
      <c r="H969" s="4">
        <v>29691083</v>
      </c>
      <c r="I969" s="2"/>
      <c r="J969" s="3">
        <v>55.215858592748482</v>
      </c>
      <c r="K969" s="3">
        <v>51.212910838181443</v>
      </c>
    </row>
    <row r="970" spans="1:11" x14ac:dyDescent="0.2">
      <c r="A970" s="2" t="s">
        <v>99</v>
      </c>
      <c r="B970" s="2" t="s">
        <v>100</v>
      </c>
      <c r="C970" s="3">
        <v>2000</v>
      </c>
      <c r="D970" s="3">
        <v>18532.909670622659</v>
      </c>
      <c r="E970" s="3">
        <v>0.99294239282607999</v>
      </c>
      <c r="F970" s="3">
        <v>5.9716100692748997</v>
      </c>
      <c r="G970" s="3">
        <v>206</v>
      </c>
      <c r="H970" s="4">
        <v>22967816</v>
      </c>
      <c r="I970" s="3">
        <v>0.46899000000000002</v>
      </c>
      <c r="J970" s="3">
        <v>220.40678898207361</v>
      </c>
      <c r="K970" s="3">
        <v>62.86028781512605</v>
      </c>
    </row>
    <row r="971" spans="1:11" x14ac:dyDescent="0.2">
      <c r="A971" s="2" t="s">
        <v>99</v>
      </c>
      <c r="B971" s="2" t="s">
        <v>100</v>
      </c>
      <c r="C971" s="3">
        <v>2001</v>
      </c>
      <c r="D971" s="3">
        <v>18186.441133014599</v>
      </c>
      <c r="E971" s="2"/>
      <c r="F971" s="3">
        <v>7.4844698905944798</v>
      </c>
      <c r="G971" s="3">
        <v>271</v>
      </c>
      <c r="H971" s="4">
        <v>23526538</v>
      </c>
      <c r="I971" s="2"/>
      <c r="J971" s="3">
        <v>203.3646360106529</v>
      </c>
      <c r="K971" s="3">
        <v>63.077126540616248</v>
      </c>
    </row>
    <row r="972" spans="1:11" x14ac:dyDescent="0.2">
      <c r="A972" s="2" t="s">
        <v>99</v>
      </c>
      <c r="B972" s="2" t="s">
        <v>100</v>
      </c>
      <c r="C972" s="3">
        <v>2002</v>
      </c>
      <c r="D972" s="3">
        <v>18708.869487727901</v>
      </c>
      <c r="E972" s="3">
        <v>0.92150604724884</v>
      </c>
      <c r="F972" s="3">
        <v>7.6579298973083496</v>
      </c>
      <c r="G972" s="3">
        <v>322</v>
      </c>
      <c r="H972" s="4">
        <v>24102477</v>
      </c>
      <c r="I972" s="3">
        <v>0.65254000000000001</v>
      </c>
      <c r="J972" s="3">
        <v>199.35623269565491</v>
      </c>
      <c r="K972" s="3">
        <v>62.943395868347338</v>
      </c>
    </row>
    <row r="973" spans="1:11" x14ac:dyDescent="0.2">
      <c r="A973" s="2" t="s">
        <v>99</v>
      </c>
      <c r="B973" s="2" t="s">
        <v>100</v>
      </c>
      <c r="C973" s="3">
        <v>2003</v>
      </c>
      <c r="D973" s="3">
        <v>19329.00627575376</v>
      </c>
      <c r="E973" s="3">
        <v>1.0410678386688199</v>
      </c>
      <c r="F973" s="3">
        <v>7.5028800964355504</v>
      </c>
      <c r="G973" s="3">
        <v>376</v>
      </c>
      <c r="H973" s="4">
        <v>24679602</v>
      </c>
      <c r="I973" s="2"/>
      <c r="J973" s="3">
        <v>194.19512905683089</v>
      </c>
      <c r="K973" s="3">
        <v>63.021332492997203</v>
      </c>
    </row>
    <row r="974" spans="1:11" x14ac:dyDescent="0.2">
      <c r="A974" s="2" t="s">
        <v>99</v>
      </c>
      <c r="B974" s="2" t="s">
        <v>100</v>
      </c>
      <c r="C974" s="3">
        <v>2004</v>
      </c>
      <c r="D974" s="3">
        <v>20168.50620994249</v>
      </c>
      <c r="E974" s="3">
        <v>1.0457520484924301</v>
      </c>
      <c r="F974" s="3">
        <v>5.92389011383057</v>
      </c>
      <c r="G974" s="3">
        <v>522</v>
      </c>
      <c r="H974" s="4">
        <v>25256772</v>
      </c>
      <c r="I974" s="3">
        <v>0.59989999999999999</v>
      </c>
      <c r="J974" s="3">
        <v>210.3742658971243</v>
      </c>
      <c r="K974" s="3">
        <v>63.013151540616249</v>
      </c>
    </row>
    <row r="975" spans="1:11" x14ac:dyDescent="0.2">
      <c r="A975" s="2" t="s">
        <v>99</v>
      </c>
      <c r="B975" s="2" t="s">
        <v>100</v>
      </c>
      <c r="C975" s="3">
        <v>2005</v>
      </c>
      <c r="D975" s="3">
        <v>20767.585724334629</v>
      </c>
      <c r="E975" s="3">
        <v>1.0433890819549601</v>
      </c>
      <c r="F975" s="2"/>
      <c r="G975" s="3">
        <v>522</v>
      </c>
      <c r="H975" s="4">
        <v>25836071</v>
      </c>
      <c r="I975" s="2"/>
      <c r="J975" s="3">
        <v>203.8546445956238</v>
      </c>
      <c r="K975" s="3">
        <v>63.358408053221289</v>
      </c>
    </row>
    <row r="976" spans="1:11" x14ac:dyDescent="0.2">
      <c r="A976" s="2" t="s">
        <v>99</v>
      </c>
      <c r="B976" s="2" t="s">
        <v>100</v>
      </c>
      <c r="C976" s="3">
        <v>2006</v>
      </c>
      <c r="D976" s="3">
        <v>21444.485771502761</v>
      </c>
      <c r="E976" s="3">
        <v>1.2376911640167201</v>
      </c>
      <c r="F976" s="3">
        <v>4.4857602119445801</v>
      </c>
      <c r="G976" s="3">
        <v>531</v>
      </c>
      <c r="H976" s="4">
        <v>26417909</v>
      </c>
      <c r="I976" s="3">
        <v>0.61106000000000005</v>
      </c>
      <c r="J976" s="3">
        <v>202.57714684039789</v>
      </c>
      <c r="K976" s="3">
        <v>63.678181792717091</v>
      </c>
    </row>
    <row r="977" spans="1:11" x14ac:dyDescent="0.2">
      <c r="A977" s="2" t="s">
        <v>99</v>
      </c>
      <c r="B977" s="2" t="s">
        <v>100</v>
      </c>
      <c r="C977" s="3">
        <v>2007</v>
      </c>
      <c r="D977" s="3">
        <v>22305.11826311699</v>
      </c>
      <c r="E977" s="3">
        <v>1.22411561012268</v>
      </c>
      <c r="F977" s="3">
        <v>4.3725399971008301</v>
      </c>
      <c r="G977" s="3">
        <v>670</v>
      </c>
      <c r="H977" s="4">
        <v>26998389</v>
      </c>
      <c r="I977" s="2"/>
      <c r="J977" s="3">
        <v>192.46550635765169</v>
      </c>
      <c r="K977" s="3">
        <v>63.978093767506998</v>
      </c>
    </row>
    <row r="978" spans="1:11" x14ac:dyDescent="0.2">
      <c r="A978" s="2" t="s">
        <v>99</v>
      </c>
      <c r="B978" s="2" t="s">
        <v>100</v>
      </c>
      <c r="C978" s="3">
        <v>2008</v>
      </c>
      <c r="D978" s="3">
        <v>22898.00275754424</v>
      </c>
      <c r="E978" s="3">
        <v>1.05022716522217</v>
      </c>
      <c r="F978" s="3">
        <v>3.9585199356079102</v>
      </c>
      <c r="G978" s="3">
        <v>818</v>
      </c>
      <c r="H978" s="4">
        <v>27570059</v>
      </c>
      <c r="I978" s="3">
        <v>0.78847</v>
      </c>
      <c r="J978" s="3">
        <v>176.66832478514809</v>
      </c>
      <c r="K978" s="3">
        <v>63.724356092436977</v>
      </c>
    </row>
    <row r="979" spans="1:11" x14ac:dyDescent="0.2">
      <c r="A979" s="2" t="s">
        <v>99</v>
      </c>
      <c r="B979" s="2" t="s">
        <v>100</v>
      </c>
      <c r="C979" s="3">
        <v>2009</v>
      </c>
      <c r="D979" s="3">
        <v>22106.641731180051</v>
      </c>
      <c r="E979" s="3">
        <v>0.89537030458450295</v>
      </c>
      <c r="F979" s="3">
        <v>5.9741802215576199</v>
      </c>
      <c r="G979" s="3">
        <v>1234</v>
      </c>
      <c r="H979" s="4">
        <v>28124778</v>
      </c>
      <c r="I979" s="3">
        <v>1.0100100000000001</v>
      </c>
      <c r="J979" s="3">
        <v>162.5589704526995</v>
      </c>
      <c r="K979" s="3">
        <v>64.355358053221281</v>
      </c>
    </row>
    <row r="980" spans="1:11" x14ac:dyDescent="0.2">
      <c r="A980" s="2" t="s">
        <v>99</v>
      </c>
      <c r="B980" s="2" t="s">
        <v>100</v>
      </c>
      <c r="C980" s="3">
        <v>2010</v>
      </c>
      <c r="D980" s="3">
        <v>23307.969854378462</v>
      </c>
      <c r="E980" s="3">
        <v>1.0464783906936601</v>
      </c>
      <c r="F980" s="3">
        <v>4.9664502143859899</v>
      </c>
      <c r="G980" s="3">
        <v>1231</v>
      </c>
      <c r="H980" s="4">
        <v>28655776</v>
      </c>
      <c r="I980" s="3">
        <v>1.0360799999999999</v>
      </c>
      <c r="J980" s="3">
        <v>157.9447648867712</v>
      </c>
      <c r="K980" s="3">
        <v>64.64279698879551</v>
      </c>
    </row>
    <row r="981" spans="1:11" x14ac:dyDescent="0.2">
      <c r="A981" s="2" t="s">
        <v>99</v>
      </c>
      <c r="B981" s="2" t="s">
        <v>100</v>
      </c>
      <c r="C981" s="3">
        <v>2011</v>
      </c>
      <c r="D981" s="3">
        <v>24115.81812039579</v>
      </c>
      <c r="E981" s="3">
        <v>0.98675674200057995</v>
      </c>
      <c r="F981" s="3">
        <v>5.76293992996216</v>
      </c>
      <c r="G981" s="3">
        <v>1076</v>
      </c>
      <c r="H981" s="4">
        <v>29162039</v>
      </c>
      <c r="I981" s="3">
        <v>1.03342</v>
      </c>
      <c r="J981" s="3">
        <v>154.937684607226</v>
      </c>
      <c r="K981" s="3">
        <v>65.404457492997196</v>
      </c>
    </row>
    <row r="982" spans="1:11" x14ac:dyDescent="0.2">
      <c r="A982" s="2" t="s">
        <v>99</v>
      </c>
      <c r="B982" s="2" t="s">
        <v>100</v>
      </c>
      <c r="C982" s="3">
        <v>2012</v>
      </c>
      <c r="D982" s="3">
        <v>25006.358778153721</v>
      </c>
      <c r="E982" s="3">
        <v>0.90633815526962302</v>
      </c>
      <c r="F982" s="3">
        <v>5.7390298843383798</v>
      </c>
      <c r="G982" s="3">
        <v>1114</v>
      </c>
      <c r="H982" s="4">
        <v>29662831</v>
      </c>
      <c r="I982" s="3">
        <v>1.0926899999999999</v>
      </c>
      <c r="J982" s="3">
        <v>147.84175476601339</v>
      </c>
      <c r="K982" s="3">
        <v>65.632688375350128</v>
      </c>
    </row>
    <row r="983" spans="1:11" x14ac:dyDescent="0.2">
      <c r="A983" s="2" t="s">
        <v>99</v>
      </c>
      <c r="B983" s="2" t="s">
        <v>100</v>
      </c>
      <c r="C983" s="3">
        <v>2013</v>
      </c>
      <c r="D983" s="3">
        <v>25736.3525554142</v>
      </c>
      <c r="E983" s="3">
        <v>0.99343192577362105</v>
      </c>
      <c r="F983" s="3">
        <v>5.48120021820068</v>
      </c>
      <c r="G983" s="3">
        <v>1199</v>
      </c>
      <c r="H983" s="4">
        <v>30174265</v>
      </c>
      <c r="I983" s="2"/>
      <c r="J983" s="3">
        <v>142.72099146487281</v>
      </c>
      <c r="K983" s="3">
        <v>66.336582633053226</v>
      </c>
    </row>
    <row r="984" spans="1:11" x14ac:dyDescent="0.2">
      <c r="A984" s="2" t="s">
        <v>99</v>
      </c>
      <c r="B984" s="2" t="s">
        <v>100</v>
      </c>
      <c r="C984" s="3">
        <v>2014</v>
      </c>
      <c r="D984" s="3">
        <v>26818.43172816588</v>
      </c>
      <c r="E984" s="3">
        <v>1.14593541622162</v>
      </c>
      <c r="F984" s="3">
        <v>5.2126398086547896</v>
      </c>
      <c r="G984" s="3">
        <v>1353</v>
      </c>
      <c r="H984" s="4">
        <v>30696137</v>
      </c>
      <c r="I984" s="3">
        <v>1.26275</v>
      </c>
      <c r="J984" s="3">
        <v>138.31223117684331</v>
      </c>
      <c r="K984" s="3">
        <v>66.576999299719887</v>
      </c>
    </row>
    <row r="985" spans="1:11" x14ac:dyDescent="0.2">
      <c r="A985" s="2" t="s">
        <v>99</v>
      </c>
      <c r="B985" s="2" t="s">
        <v>100</v>
      </c>
      <c r="C985" s="3">
        <v>2015</v>
      </c>
      <c r="D985" s="3">
        <v>27699.627886038681</v>
      </c>
      <c r="E985" s="3">
        <v>0.91708517074585005</v>
      </c>
      <c r="F985" s="3">
        <v>4.8948698043823198</v>
      </c>
      <c r="G985" s="3">
        <v>1272</v>
      </c>
      <c r="H985" s="4">
        <v>31232798</v>
      </c>
      <c r="I985" s="3">
        <v>1.27945</v>
      </c>
      <c r="J985" s="3">
        <v>131.37007244525981</v>
      </c>
      <c r="K985" s="3">
        <v>67.291572058823533</v>
      </c>
    </row>
    <row r="986" spans="1:11" x14ac:dyDescent="0.2">
      <c r="A986" s="2" t="s">
        <v>99</v>
      </c>
      <c r="B986" s="2" t="s">
        <v>100</v>
      </c>
      <c r="C986" s="3">
        <v>2016</v>
      </c>
      <c r="D986" s="3">
        <v>28425.370760941161</v>
      </c>
      <c r="E986" s="3">
        <v>0.81771874427795399</v>
      </c>
      <c r="F986" s="3">
        <v>4.7519202232360804</v>
      </c>
      <c r="G986" s="3">
        <v>1109</v>
      </c>
      <c r="H986" s="4">
        <v>31789685</v>
      </c>
      <c r="I986" s="3">
        <v>1.41517</v>
      </c>
      <c r="J986" s="3">
        <v>126.89901002569989</v>
      </c>
      <c r="K986" s="3">
        <v>67.097966526610648</v>
      </c>
    </row>
    <row r="987" spans="1:11" x14ac:dyDescent="0.2">
      <c r="A987" s="2" t="s">
        <v>99</v>
      </c>
      <c r="B987" s="2" t="s">
        <v>100</v>
      </c>
      <c r="C987" s="3">
        <v>2017</v>
      </c>
      <c r="D987" s="3">
        <v>29551.54575971972</v>
      </c>
      <c r="E987" s="3">
        <v>0.77773243188857999</v>
      </c>
      <c r="F987" s="3">
        <v>4.6753101348876998</v>
      </c>
      <c r="G987" s="3">
        <v>1166</v>
      </c>
      <c r="H987" s="4">
        <v>32355644</v>
      </c>
      <c r="I987" s="2"/>
      <c r="J987" s="3">
        <v>133.15517337195621</v>
      </c>
      <c r="K987" s="3">
        <v>67.64221799719887</v>
      </c>
    </row>
    <row r="988" spans="1:11" x14ac:dyDescent="0.2">
      <c r="A988" s="2" t="s">
        <v>99</v>
      </c>
      <c r="B988" s="2" t="s">
        <v>100</v>
      </c>
      <c r="C988" s="3">
        <v>2018</v>
      </c>
      <c r="D988" s="3">
        <v>30459.965533806091</v>
      </c>
      <c r="E988" s="3">
        <v>1.0538898706436199</v>
      </c>
      <c r="F988" s="3">
        <v>4.4786500930786097</v>
      </c>
      <c r="G988" s="3">
        <v>1116</v>
      </c>
      <c r="H988" s="4">
        <v>32910967</v>
      </c>
      <c r="I988" s="3">
        <v>1.04026</v>
      </c>
      <c r="J988" s="3">
        <v>130.40262550212631</v>
      </c>
      <c r="K988" s="3">
        <v>67.431696428571428</v>
      </c>
    </row>
    <row r="989" spans="1:11" x14ac:dyDescent="0.2">
      <c r="A989" s="2" t="s">
        <v>99</v>
      </c>
      <c r="B989" s="2" t="s">
        <v>100</v>
      </c>
      <c r="C989" s="3">
        <v>2019</v>
      </c>
      <c r="D989" s="3">
        <v>31300.508655484911</v>
      </c>
      <c r="E989" s="3">
        <v>0.96777498722076405</v>
      </c>
      <c r="F989" s="3">
        <v>4.1577601432800302</v>
      </c>
      <c r="G989" s="3">
        <v>1071</v>
      </c>
      <c r="H989" s="4">
        <v>33440596</v>
      </c>
      <c r="I989" s="2"/>
      <c r="J989" s="3">
        <v>123.0285620279429</v>
      </c>
      <c r="K989" s="3">
        <v>67.784229831932763</v>
      </c>
    </row>
    <row r="990" spans="1:11" x14ac:dyDescent="0.2">
      <c r="A990" s="2" t="s">
        <v>99</v>
      </c>
      <c r="B990" s="2" t="s">
        <v>100</v>
      </c>
      <c r="C990" s="3">
        <v>2020</v>
      </c>
      <c r="D990" s="3">
        <v>29200.452632127039</v>
      </c>
      <c r="E990" s="3">
        <v>1.0222588777542101</v>
      </c>
      <c r="F990" s="3">
        <v>3.9117600917816202</v>
      </c>
      <c r="G990" s="3">
        <v>989</v>
      </c>
      <c r="H990" s="4">
        <v>33889558</v>
      </c>
      <c r="I990" s="3">
        <v>0.95055000000000001</v>
      </c>
      <c r="J990" s="3">
        <v>116.7881824376385</v>
      </c>
      <c r="K990" s="3">
        <v>68.315131512605035</v>
      </c>
    </row>
    <row r="991" spans="1:11" x14ac:dyDescent="0.2">
      <c r="A991" s="2" t="s">
        <v>99</v>
      </c>
      <c r="B991" s="2" t="s">
        <v>100</v>
      </c>
      <c r="C991" s="3">
        <v>2021</v>
      </c>
      <c r="D991" s="3">
        <v>29822.84918316183</v>
      </c>
      <c r="E991" s="3">
        <v>0.95243352651596103</v>
      </c>
      <c r="F991" s="3">
        <v>4.2610939339886702</v>
      </c>
      <c r="G991" s="3">
        <v>883</v>
      </c>
      <c r="H991" s="4">
        <v>34282399</v>
      </c>
      <c r="I991" s="2"/>
      <c r="J991" s="3">
        <v>134.03599469072651</v>
      </c>
      <c r="K991" s="3">
        <v>68.266482002801126</v>
      </c>
    </row>
    <row r="992" spans="1:11" x14ac:dyDescent="0.2">
      <c r="A992" s="2" t="s">
        <v>101</v>
      </c>
      <c r="B992" s="2" t="s">
        <v>102</v>
      </c>
      <c r="C992" s="3">
        <v>2000</v>
      </c>
      <c r="D992" s="3">
        <v>31066.922890322119</v>
      </c>
      <c r="E992" s="3">
        <v>1.0505077838897701</v>
      </c>
      <c r="F992" s="2"/>
      <c r="G992" s="3">
        <v>23</v>
      </c>
      <c r="H992" s="4">
        <v>390087</v>
      </c>
      <c r="I992" s="2"/>
      <c r="J992" s="3">
        <v>189.60121931548679</v>
      </c>
      <c r="K992" s="3">
        <v>70.794056629318391</v>
      </c>
    </row>
    <row r="993" spans="1:11" x14ac:dyDescent="0.2">
      <c r="A993" s="2" t="s">
        <v>101</v>
      </c>
      <c r="B993" s="2" t="s">
        <v>102</v>
      </c>
      <c r="C993" s="3">
        <v>2001</v>
      </c>
      <c r="D993" s="3">
        <v>30600.971945790079</v>
      </c>
      <c r="E993" s="2"/>
      <c r="F993" s="2"/>
      <c r="G993" s="3">
        <v>26</v>
      </c>
      <c r="H993" s="4">
        <v>393028</v>
      </c>
      <c r="I993" s="2"/>
      <c r="J993" s="3">
        <v>161.32536031479421</v>
      </c>
      <c r="K993" s="3">
        <v>70.754020891690018</v>
      </c>
    </row>
    <row r="994" spans="1:11" x14ac:dyDescent="0.2">
      <c r="A994" s="2" t="s">
        <v>101</v>
      </c>
      <c r="B994" s="2" t="s">
        <v>102</v>
      </c>
      <c r="C994" s="3">
        <v>2002</v>
      </c>
      <c r="D994" s="3">
        <v>31206.271676293181</v>
      </c>
      <c r="E994" s="3">
        <v>1.05014824867249</v>
      </c>
      <c r="F994" s="3">
        <v>4.1574401855468803</v>
      </c>
      <c r="G994" s="3">
        <v>22</v>
      </c>
      <c r="H994" s="4">
        <v>395969</v>
      </c>
      <c r="I994" s="3">
        <v>0.25019999999999998</v>
      </c>
      <c r="J994" s="3">
        <v>162.52407615423749</v>
      </c>
      <c r="K994" s="3">
        <v>71.187222619047617</v>
      </c>
    </row>
    <row r="995" spans="1:11" x14ac:dyDescent="0.2">
      <c r="A995" s="2" t="s">
        <v>101</v>
      </c>
      <c r="B995" s="2" t="s">
        <v>102</v>
      </c>
      <c r="C995" s="3">
        <v>2003</v>
      </c>
      <c r="D995" s="3">
        <v>32146.680184233599</v>
      </c>
      <c r="E995" s="3">
        <v>0.87918686866760298</v>
      </c>
      <c r="F995" s="2"/>
      <c r="G995" s="2"/>
      <c r="H995" s="4">
        <v>398582</v>
      </c>
      <c r="I995" s="3">
        <v>0.23743</v>
      </c>
      <c r="J995" s="3">
        <v>154.57416173503361</v>
      </c>
      <c r="K995" s="3">
        <v>71.434086251167116</v>
      </c>
    </row>
    <row r="996" spans="1:11" x14ac:dyDescent="0.2">
      <c r="A996" s="2" t="s">
        <v>101</v>
      </c>
      <c r="B996" s="2" t="s">
        <v>102</v>
      </c>
      <c r="C996" s="3">
        <v>2004</v>
      </c>
      <c r="D996" s="3">
        <v>32061.5717383591</v>
      </c>
      <c r="E996" s="3">
        <v>0.77915167808532704</v>
      </c>
      <c r="F996" s="3">
        <v>4.4302601814270002</v>
      </c>
      <c r="G996" s="2"/>
      <c r="H996" s="4">
        <v>401268</v>
      </c>
      <c r="I996" s="3">
        <v>0.48970999999999998</v>
      </c>
      <c r="J996" s="3">
        <v>155.88991833559899</v>
      </c>
      <c r="K996" s="3">
        <v>71.411595845004669</v>
      </c>
    </row>
    <row r="997" spans="1:11" x14ac:dyDescent="0.2">
      <c r="A997" s="2" t="s">
        <v>101</v>
      </c>
      <c r="B997" s="2" t="s">
        <v>102</v>
      </c>
      <c r="C997" s="3">
        <v>2005</v>
      </c>
      <c r="D997" s="3">
        <v>32775.749018224182</v>
      </c>
      <c r="E997" s="3">
        <v>0.81725895404815696</v>
      </c>
      <c r="F997" s="2"/>
      <c r="G997" s="2"/>
      <c r="H997" s="4">
        <v>403834</v>
      </c>
      <c r="I997" s="3">
        <v>0.5282</v>
      </c>
      <c r="J997" s="3">
        <v>157.54849784272079</v>
      </c>
      <c r="K997" s="3">
        <v>71.836914799253037</v>
      </c>
    </row>
    <row r="998" spans="1:11" x14ac:dyDescent="0.2">
      <c r="A998" s="2" t="s">
        <v>101</v>
      </c>
      <c r="B998" s="2" t="s">
        <v>102</v>
      </c>
      <c r="C998" s="3">
        <v>2006</v>
      </c>
      <c r="D998" s="3">
        <v>33419.471051446722</v>
      </c>
      <c r="E998" s="3">
        <v>1.0186265707016</v>
      </c>
      <c r="F998" s="2"/>
      <c r="G998" s="2"/>
      <c r="H998" s="4">
        <v>405308</v>
      </c>
      <c r="I998" s="3">
        <v>0.57843999999999995</v>
      </c>
      <c r="J998" s="3">
        <v>182.43405559470239</v>
      </c>
      <c r="K998" s="3">
        <v>72.167617507002788</v>
      </c>
    </row>
    <row r="999" spans="1:11" x14ac:dyDescent="0.2">
      <c r="A999" s="2" t="s">
        <v>101</v>
      </c>
      <c r="B999" s="2" t="s">
        <v>102</v>
      </c>
      <c r="C999" s="3">
        <v>2007</v>
      </c>
      <c r="D999" s="3">
        <v>34980.400946234877</v>
      </c>
      <c r="E999" s="3">
        <v>1.19997453689575</v>
      </c>
      <c r="F999" s="3">
        <v>5.95993995666504</v>
      </c>
      <c r="G999" s="3">
        <v>10</v>
      </c>
      <c r="H999" s="4">
        <v>406724</v>
      </c>
      <c r="I999" s="3">
        <v>0.5454</v>
      </c>
      <c r="J999" s="3">
        <v>184.83133425152661</v>
      </c>
      <c r="K999" s="3">
        <v>72.027486974789909</v>
      </c>
    </row>
    <row r="1000" spans="1:11" x14ac:dyDescent="0.2">
      <c r="A1000" s="2" t="s">
        <v>101</v>
      </c>
      <c r="B1000" s="2" t="s">
        <v>102</v>
      </c>
      <c r="C1000" s="3">
        <v>2008</v>
      </c>
      <c r="D1000" s="3">
        <v>36286.376269384498</v>
      </c>
      <c r="E1000" s="3">
        <v>1.2712099552154501</v>
      </c>
      <c r="F1000" s="3">
        <v>5.4742999076843297</v>
      </c>
      <c r="G1000" s="3">
        <v>14</v>
      </c>
      <c r="H1000" s="4">
        <v>409379</v>
      </c>
      <c r="I1000" s="3">
        <v>0.52666999999999997</v>
      </c>
      <c r="J1000" s="3">
        <v>185.74952378547249</v>
      </c>
      <c r="K1000" s="3">
        <v>72.374247875816991</v>
      </c>
    </row>
    <row r="1001" spans="1:11" x14ac:dyDescent="0.2">
      <c r="A1001" s="2" t="s">
        <v>101</v>
      </c>
      <c r="B1001" s="2" t="s">
        <v>102</v>
      </c>
      <c r="C1001" s="3">
        <v>2009</v>
      </c>
      <c r="D1001" s="3">
        <v>35511.356393161848</v>
      </c>
      <c r="E1001" s="3">
        <v>1.16994321346283</v>
      </c>
      <c r="F1001" s="3">
        <v>5.0478100776672399</v>
      </c>
      <c r="G1001" s="3">
        <v>8</v>
      </c>
      <c r="H1001" s="4">
        <v>412477</v>
      </c>
      <c r="I1001" s="3">
        <v>0.50739000000000001</v>
      </c>
      <c r="J1001" s="3">
        <v>163.55684844911099</v>
      </c>
      <c r="K1001" s="3">
        <v>72.886996918767522</v>
      </c>
    </row>
    <row r="1002" spans="1:11" x14ac:dyDescent="0.2">
      <c r="A1002" s="2" t="s">
        <v>101</v>
      </c>
      <c r="B1002" s="2" t="s">
        <v>102</v>
      </c>
      <c r="C1002" s="3">
        <v>2010</v>
      </c>
      <c r="D1002" s="3">
        <v>37527.338314072957</v>
      </c>
      <c r="E1002" s="3">
        <v>1.18747317790985</v>
      </c>
      <c r="F1002" s="3">
        <v>6.2079801559448198</v>
      </c>
      <c r="G1002" s="3">
        <v>12</v>
      </c>
      <c r="H1002" s="4">
        <v>414508</v>
      </c>
      <c r="I1002" s="3">
        <v>0.58740999999999999</v>
      </c>
      <c r="J1002" s="3">
        <v>178.2329553021394</v>
      </c>
      <c r="K1002" s="3">
        <v>72.661910224089638</v>
      </c>
    </row>
    <row r="1003" spans="1:11" x14ac:dyDescent="0.2">
      <c r="A1003" s="2" t="s">
        <v>101</v>
      </c>
      <c r="B1003" s="2" t="s">
        <v>102</v>
      </c>
      <c r="C1003" s="3">
        <v>2011</v>
      </c>
      <c r="D1003" s="3">
        <v>37739.443692533307</v>
      </c>
      <c r="E1003" s="3">
        <v>1.1896511316299401</v>
      </c>
      <c r="F1003" s="3">
        <v>7.5777101516723597</v>
      </c>
      <c r="G1003" s="3">
        <v>9</v>
      </c>
      <c r="H1003" s="4">
        <v>416268</v>
      </c>
      <c r="I1003" s="3">
        <v>0.66505999999999998</v>
      </c>
      <c r="J1003" s="3">
        <v>192.02734138078321</v>
      </c>
      <c r="K1003" s="3">
        <v>74.916537628384688</v>
      </c>
    </row>
    <row r="1004" spans="1:11" x14ac:dyDescent="0.2">
      <c r="A1004" s="2" t="s">
        <v>101</v>
      </c>
      <c r="B1004" s="2" t="s">
        <v>102</v>
      </c>
      <c r="C1004" s="3">
        <v>2012</v>
      </c>
      <c r="D1004" s="3">
        <v>38935.700353787986</v>
      </c>
      <c r="E1004" s="3">
        <v>1.24083888530731</v>
      </c>
      <c r="F1004" s="3">
        <v>6.2478899955749503</v>
      </c>
      <c r="G1004" s="3">
        <v>11</v>
      </c>
      <c r="H1004" s="4">
        <v>420028</v>
      </c>
      <c r="I1004" s="3">
        <v>0.80432000000000003</v>
      </c>
      <c r="J1004" s="3">
        <v>199.2138651428393</v>
      </c>
      <c r="K1004" s="3">
        <v>75.482886041083077</v>
      </c>
    </row>
    <row r="1005" spans="1:11" x14ac:dyDescent="0.2">
      <c r="A1005" s="2" t="s">
        <v>101</v>
      </c>
      <c r="B1005" s="2" t="s">
        <v>102</v>
      </c>
      <c r="C1005" s="3">
        <v>2013</v>
      </c>
      <c r="D1005" s="3">
        <v>40919.79454006278</v>
      </c>
      <c r="E1005" s="3">
        <v>1.25139141082764</v>
      </c>
      <c r="F1005" s="3">
        <v>7.4067201614379901</v>
      </c>
      <c r="G1005" s="3">
        <v>13</v>
      </c>
      <c r="H1005" s="4">
        <v>424810</v>
      </c>
      <c r="I1005" s="3">
        <v>0.74336000000000002</v>
      </c>
      <c r="J1005" s="3">
        <v>187.43225285004459</v>
      </c>
      <c r="K1005" s="3">
        <v>76.132709033613438</v>
      </c>
    </row>
    <row r="1006" spans="1:11" x14ac:dyDescent="0.2">
      <c r="A1006" s="2" t="s">
        <v>101</v>
      </c>
      <c r="B1006" s="2" t="s">
        <v>102</v>
      </c>
      <c r="C1006" s="3">
        <v>2014</v>
      </c>
      <c r="D1006" s="3">
        <v>43161.541981516137</v>
      </c>
      <c r="E1006" s="3">
        <v>1.02343165874481</v>
      </c>
      <c r="F1006" s="3">
        <v>6.8497300148010298</v>
      </c>
      <c r="G1006" s="3">
        <v>5</v>
      </c>
      <c r="H1006" s="4">
        <v>433481</v>
      </c>
      <c r="I1006" s="3">
        <v>0.69179000000000002</v>
      </c>
      <c r="J1006" s="3">
        <v>181.30112711295891</v>
      </c>
      <c r="K1006" s="3">
        <v>76.537394701213813</v>
      </c>
    </row>
    <row r="1007" spans="1:11" x14ac:dyDescent="0.2">
      <c r="A1007" s="2" t="s">
        <v>101</v>
      </c>
      <c r="B1007" s="2" t="s">
        <v>102</v>
      </c>
      <c r="C1007" s="3">
        <v>2015</v>
      </c>
      <c r="D1007" s="3">
        <v>46170.172177212713</v>
      </c>
      <c r="E1007" s="3">
        <v>0.81887686252594005</v>
      </c>
      <c r="F1007" s="3">
        <v>4.9135298728942898</v>
      </c>
      <c r="G1007" s="3">
        <v>9</v>
      </c>
      <c r="H1007" s="4">
        <v>444220</v>
      </c>
      <c r="I1007" s="3">
        <v>0.71514999999999995</v>
      </c>
      <c r="J1007" s="3">
        <v>207.1960198552442</v>
      </c>
      <c r="K1007" s="3">
        <v>77.066323716153136</v>
      </c>
    </row>
    <row r="1008" spans="1:11" x14ac:dyDescent="0.2">
      <c r="A1008" s="2" t="s">
        <v>101</v>
      </c>
      <c r="B1008" s="2" t="s">
        <v>102</v>
      </c>
      <c r="C1008" s="3">
        <v>2016</v>
      </c>
      <c r="D1008" s="3">
        <v>46965.601581458053</v>
      </c>
      <c r="E1008" s="3">
        <v>0.92088240385055498</v>
      </c>
      <c r="F1008" s="3">
        <v>4.95570993423462</v>
      </c>
      <c r="G1008" s="3">
        <v>3</v>
      </c>
      <c r="H1008" s="4">
        <v>454505</v>
      </c>
      <c r="I1008" s="3">
        <v>0.55689</v>
      </c>
      <c r="J1008" s="3">
        <v>213.35947324267681</v>
      </c>
      <c r="K1008" s="3">
        <v>77.892826190476185</v>
      </c>
    </row>
    <row r="1009" spans="1:11" x14ac:dyDescent="0.2">
      <c r="A1009" s="2" t="s">
        <v>101</v>
      </c>
      <c r="B1009" s="2" t="s">
        <v>102</v>
      </c>
      <c r="C1009" s="3">
        <v>2017</v>
      </c>
      <c r="D1009" s="3">
        <v>51626.347304978313</v>
      </c>
      <c r="E1009" s="3">
        <v>0.96872377395629905</v>
      </c>
      <c r="F1009" s="3">
        <v>4.3428101539611799</v>
      </c>
      <c r="G1009" s="3">
        <v>5</v>
      </c>
      <c r="H1009" s="4">
        <v>467106</v>
      </c>
      <c r="I1009" s="3">
        <v>0.55232000000000003</v>
      </c>
      <c r="J1009" s="3">
        <v>213.0475910257563</v>
      </c>
      <c r="K1009" s="3">
        <v>78.060333263305324</v>
      </c>
    </row>
    <row r="1010" spans="1:11" x14ac:dyDescent="0.2">
      <c r="A1010" s="2" t="s">
        <v>101</v>
      </c>
      <c r="B1010" s="2" t="s">
        <v>102</v>
      </c>
      <c r="C1010" s="3">
        <v>2018</v>
      </c>
      <c r="D1010" s="3">
        <v>53417.015494622712</v>
      </c>
      <c r="E1010" s="3">
        <v>0.93090093135833696</v>
      </c>
      <c r="F1010" s="2"/>
      <c r="G1010" s="3">
        <v>2</v>
      </c>
      <c r="H1010" s="4">
        <v>483903</v>
      </c>
      <c r="I1010" s="3">
        <v>0.57211000000000001</v>
      </c>
      <c r="J1010" s="3">
        <v>228.0985507371114</v>
      </c>
      <c r="K1010" s="3">
        <v>78.03115767973857</v>
      </c>
    </row>
    <row r="1011" spans="1:11" x14ac:dyDescent="0.2">
      <c r="A1011" s="2" t="s">
        <v>101</v>
      </c>
      <c r="B1011" s="2" t="s">
        <v>102</v>
      </c>
      <c r="C1011" s="3">
        <v>2019</v>
      </c>
      <c r="D1011" s="3">
        <v>53391.437385609119</v>
      </c>
      <c r="E1011" s="3">
        <v>0.82416915893554699</v>
      </c>
      <c r="F1011" s="3">
        <v>4.7994198799133301</v>
      </c>
      <c r="G1011" s="3">
        <v>5</v>
      </c>
      <c r="H1011" s="4">
        <v>503912</v>
      </c>
      <c r="I1011" s="3">
        <v>0.55993000000000004</v>
      </c>
      <c r="J1011" s="3">
        <v>233.0704419105372</v>
      </c>
      <c r="K1011" s="3">
        <v>77.84654241363215</v>
      </c>
    </row>
    <row r="1012" spans="1:11" x14ac:dyDescent="0.2">
      <c r="A1012" s="2" t="s">
        <v>101</v>
      </c>
      <c r="B1012" s="2" t="s">
        <v>102</v>
      </c>
      <c r="C1012" s="3">
        <v>2020</v>
      </c>
      <c r="D1012" s="3">
        <v>50387.822036858161</v>
      </c>
      <c r="E1012" s="3">
        <v>0.99406486749649003</v>
      </c>
      <c r="F1012" s="2"/>
      <c r="G1012" s="3">
        <v>6</v>
      </c>
      <c r="H1012" s="4">
        <v>515490</v>
      </c>
      <c r="I1012" s="3">
        <v>0.64566000000000001</v>
      </c>
      <c r="J1012" s="3">
        <v>242.36119073585689</v>
      </c>
      <c r="K1012" s="3">
        <v>78.022813702147545</v>
      </c>
    </row>
    <row r="1013" spans="1:11" x14ac:dyDescent="0.2">
      <c r="A1013" s="2" t="s">
        <v>101</v>
      </c>
      <c r="B1013" s="2" t="s">
        <v>102</v>
      </c>
      <c r="C1013" s="3">
        <v>2021</v>
      </c>
      <c r="D1013" s="3">
        <v>56852.32185122669</v>
      </c>
      <c r="E1013" s="3">
        <v>0.85311686992645297</v>
      </c>
      <c r="F1013" s="3">
        <v>4.9308900833129901</v>
      </c>
      <c r="G1013" s="3">
        <v>5</v>
      </c>
      <c r="H1013" s="4">
        <v>518150</v>
      </c>
      <c r="I1013" s="3">
        <v>0.65205000000000002</v>
      </c>
      <c r="J1013" s="3">
        <v>220.16563408775701</v>
      </c>
      <c r="K1013" s="3">
        <v>77.933704668534062</v>
      </c>
    </row>
    <row r="1014" spans="1:11" x14ac:dyDescent="0.2">
      <c r="A1014" s="2" t="s">
        <v>103</v>
      </c>
      <c r="B1014" s="2" t="s">
        <v>104</v>
      </c>
      <c r="C1014" s="3">
        <v>2000</v>
      </c>
      <c r="D1014" s="3">
        <v>20470.493764614839</v>
      </c>
      <c r="E1014" s="3">
        <v>0.27618193626403797</v>
      </c>
      <c r="F1014" s="3">
        <v>3.8087000846862802</v>
      </c>
      <c r="G1014" s="3">
        <v>431</v>
      </c>
      <c r="H1014" s="4">
        <v>98625552</v>
      </c>
      <c r="I1014" s="3">
        <v>0.29204999999999998</v>
      </c>
      <c r="J1014" s="3">
        <v>49.910409187249748</v>
      </c>
      <c r="K1014" s="3">
        <v>61.296577894491143</v>
      </c>
    </row>
    <row r="1015" spans="1:11" x14ac:dyDescent="0.2">
      <c r="A1015" s="2" t="s">
        <v>103</v>
      </c>
      <c r="B1015" s="2" t="s">
        <v>104</v>
      </c>
      <c r="C1015" s="3">
        <v>2001</v>
      </c>
      <c r="D1015" s="3">
        <v>20078.218390873892</v>
      </c>
      <c r="E1015" s="2"/>
      <c r="F1015" s="3">
        <v>4.0313401222229004</v>
      </c>
      <c r="G1015" s="3">
        <v>534</v>
      </c>
      <c r="H1015" s="4">
        <v>100099099</v>
      </c>
      <c r="I1015" s="3">
        <v>0.30814999999999998</v>
      </c>
      <c r="J1015" s="3">
        <v>44.740109012317298</v>
      </c>
      <c r="K1015" s="3">
        <v>61.884604377811733</v>
      </c>
    </row>
    <row r="1016" spans="1:11" x14ac:dyDescent="0.2">
      <c r="A1016" s="2" t="s">
        <v>103</v>
      </c>
      <c r="B1016" s="2" t="s">
        <v>104</v>
      </c>
      <c r="C1016" s="3">
        <v>2002</v>
      </c>
      <c r="D1016" s="3">
        <v>19744.79336534156</v>
      </c>
      <c r="E1016" s="3">
        <v>0.218386545777321</v>
      </c>
      <c r="F1016" s="3">
        <v>4.2430701255798304</v>
      </c>
      <c r="G1016" s="3">
        <v>526</v>
      </c>
      <c r="H1016" s="4">
        <v>101548624</v>
      </c>
      <c r="I1016" s="3">
        <v>0.33745000000000003</v>
      </c>
      <c r="J1016" s="3">
        <v>45.209829259652032</v>
      </c>
      <c r="K1016" s="3">
        <v>62.570356251591541</v>
      </c>
    </row>
    <row r="1017" spans="1:11" x14ac:dyDescent="0.2">
      <c r="A1017" s="2" t="s">
        <v>103</v>
      </c>
      <c r="B1017" s="2" t="s">
        <v>104</v>
      </c>
      <c r="C1017" s="3">
        <v>2003</v>
      </c>
      <c r="D1017" s="3">
        <v>19701.463387656899</v>
      </c>
      <c r="E1017" s="3">
        <v>0.131819322705269</v>
      </c>
      <c r="F1017" s="3">
        <v>4.83262014389038</v>
      </c>
      <c r="G1017" s="3">
        <v>468</v>
      </c>
      <c r="H1017" s="4">
        <v>102978515</v>
      </c>
      <c r="I1017" s="3">
        <v>0.37453999999999998</v>
      </c>
      <c r="J1017" s="3">
        <v>48.70041688083802</v>
      </c>
      <c r="K1017" s="3">
        <v>62.392637494694853</v>
      </c>
    </row>
    <row r="1018" spans="1:11" x14ac:dyDescent="0.2">
      <c r="A1018" s="2" t="s">
        <v>103</v>
      </c>
      <c r="B1018" s="2" t="s">
        <v>104</v>
      </c>
      <c r="C1018" s="3">
        <v>2004</v>
      </c>
      <c r="D1018" s="3">
        <v>20127.22428477721</v>
      </c>
      <c r="E1018" s="3">
        <v>7.5833812355995206E-2</v>
      </c>
      <c r="F1018" s="3">
        <v>4.5120401382446298</v>
      </c>
      <c r="G1018" s="3">
        <v>565</v>
      </c>
      <c r="H1018" s="4">
        <v>104394131</v>
      </c>
      <c r="I1018" s="3">
        <v>0.37053000000000003</v>
      </c>
      <c r="J1018" s="3">
        <v>52.040620033563172</v>
      </c>
      <c r="K1018" s="3">
        <v>63.055824431287682</v>
      </c>
    </row>
    <row r="1019" spans="1:11" x14ac:dyDescent="0.2">
      <c r="A1019" s="2" t="s">
        <v>103</v>
      </c>
      <c r="B1019" s="2" t="s">
        <v>104</v>
      </c>
      <c r="C1019" s="3">
        <v>2005</v>
      </c>
      <c r="D1019" s="3">
        <v>20277.255281850292</v>
      </c>
      <c r="E1019" s="3">
        <v>3.1416982412338298E-2</v>
      </c>
      <c r="F1019" s="3">
        <v>4.63395023345947</v>
      </c>
      <c r="G1019" s="3">
        <v>584</v>
      </c>
      <c r="H1019" s="4">
        <v>105811504</v>
      </c>
      <c r="I1019" s="3">
        <v>0.38102999999999998</v>
      </c>
      <c r="J1019" s="3">
        <v>52.562644651788581</v>
      </c>
      <c r="K1019" s="3">
        <v>63.56203430311519</v>
      </c>
    </row>
    <row r="1020" spans="1:11" x14ac:dyDescent="0.2">
      <c r="A1020" s="2" t="s">
        <v>103</v>
      </c>
      <c r="B1020" s="2" t="s">
        <v>104</v>
      </c>
      <c r="C1020" s="3">
        <v>2006</v>
      </c>
      <c r="D1020" s="3">
        <v>20965.825607404629</v>
      </c>
      <c r="E1020" s="3">
        <v>5.0471160560846301E-2</v>
      </c>
      <c r="F1020" s="3">
        <v>4.4931697845459002</v>
      </c>
      <c r="G1020" s="3">
        <v>574</v>
      </c>
      <c r="H1020" s="4">
        <v>107253666</v>
      </c>
      <c r="I1020" s="3">
        <v>0.35298000000000002</v>
      </c>
      <c r="J1020" s="3">
        <v>54.482116088616948</v>
      </c>
      <c r="K1020" s="3">
        <v>64.331675997368635</v>
      </c>
    </row>
    <row r="1021" spans="1:11" x14ac:dyDescent="0.2">
      <c r="A1021" s="2" t="s">
        <v>103</v>
      </c>
      <c r="B1021" s="2" t="s">
        <v>104</v>
      </c>
      <c r="C1021" s="3">
        <v>2007</v>
      </c>
      <c r="D1021" s="3">
        <v>21102.268831462941</v>
      </c>
      <c r="E1021" s="3">
        <v>0.136410132050514</v>
      </c>
      <c r="F1021" s="3">
        <v>4.4792199134826696</v>
      </c>
      <c r="G1021" s="3">
        <v>629</v>
      </c>
      <c r="H1021" s="4">
        <v>108774360</v>
      </c>
      <c r="I1021" s="3">
        <v>0.38039000000000001</v>
      </c>
      <c r="J1021" s="3">
        <v>55.258524394449829</v>
      </c>
      <c r="K1021" s="3">
        <v>64.265039587046928</v>
      </c>
    </row>
    <row r="1022" spans="1:11" x14ac:dyDescent="0.2">
      <c r="A1022" s="2" t="s">
        <v>103</v>
      </c>
      <c r="B1022" s="2" t="s">
        <v>104</v>
      </c>
      <c r="C1022" s="3">
        <v>2008</v>
      </c>
      <c r="D1022" s="3">
        <v>20992.560261822931</v>
      </c>
      <c r="E1022" s="3">
        <v>0.16068996489048001</v>
      </c>
      <c r="F1022" s="3">
        <v>4.6060900688171396</v>
      </c>
      <c r="G1022" s="3">
        <v>685</v>
      </c>
      <c r="H1022" s="4">
        <v>110374288</v>
      </c>
      <c r="I1022" s="3">
        <v>0.42415999999999998</v>
      </c>
      <c r="J1022" s="3">
        <v>56.365281886257343</v>
      </c>
      <c r="K1022" s="3">
        <v>64.758886493082073</v>
      </c>
    </row>
    <row r="1023" spans="1:11" x14ac:dyDescent="0.2">
      <c r="A1023" s="2" t="s">
        <v>103</v>
      </c>
      <c r="B1023" s="2" t="s">
        <v>104</v>
      </c>
      <c r="C1023" s="3">
        <v>2009</v>
      </c>
      <c r="D1023" s="3">
        <v>19385.543723008781</v>
      </c>
      <c r="E1023" s="3">
        <v>0.14151577651500699</v>
      </c>
      <c r="F1023" s="3">
        <v>4.94933986663818</v>
      </c>
      <c r="G1023" s="3">
        <v>822</v>
      </c>
      <c r="H1023" s="4">
        <v>111999721</v>
      </c>
      <c r="I1023" s="3">
        <v>0.45748</v>
      </c>
      <c r="J1023" s="3">
        <v>54.591742131350252</v>
      </c>
      <c r="K1023" s="3">
        <v>65.191756824547994</v>
      </c>
    </row>
    <row r="1024" spans="1:11" x14ac:dyDescent="0.2">
      <c r="A1024" s="2" t="s">
        <v>103</v>
      </c>
      <c r="B1024" s="2" t="s">
        <v>104</v>
      </c>
      <c r="C1024" s="3">
        <v>2010</v>
      </c>
      <c r="D1024" s="3">
        <v>20058.385485975548</v>
      </c>
      <c r="E1024" s="3">
        <v>9.6291385591030093E-2</v>
      </c>
      <c r="F1024" s="3">
        <v>4.93695020675659</v>
      </c>
      <c r="G1024" s="3">
        <v>951</v>
      </c>
      <c r="H1024" s="4">
        <v>113623895</v>
      </c>
      <c r="I1024" s="3">
        <v>0.47353000000000001</v>
      </c>
      <c r="J1024" s="3">
        <v>59.27338452938514</v>
      </c>
      <c r="K1024" s="3">
        <v>66.08440708343943</v>
      </c>
    </row>
    <row r="1025" spans="1:11" x14ac:dyDescent="0.2">
      <c r="A1025" s="2" t="s">
        <v>103</v>
      </c>
      <c r="B1025" s="2" t="s">
        <v>104</v>
      </c>
      <c r="C1025" s="3">
        <v>2011</v>
      </c>
      <c r="D1025" s="3">
        <v>20457.60016646238</v>
      </c>
      <c r="E1025" s="3">
        <v>0.25232720375061002</v>
      </c>
      <c r="F1025" s="3">
        <v>4.9040598869323704</v>
      </c>
      <c r="G1025" s="3">
        <v>1065</v>
      </c>
      <c r="H1025" s="4">
        <v>115243504</v>
      </c>
      <c r="I1025" s="3">
        <v>0.45268000000000003</v>
      </c>
      <c r="J1025" s="3">
        <v>62.16238727644977</v>
      </c>
      <c r="K1025" s="3">
        <v>65.999679159239463</v>
      </c>
    </row>
    <row r="1026" spans="1:11" x14ac:dyDescent="0.2">
      <c r="A1026" s="2" t="s">
        <v>103</v>
      </c>
      <c r="B1026" s="2" t="s">
        <v>104</v>
      </c>
      <c r="C1026" s="3">
        <v>2012</v>
      </c>
      <c r="D1026" s="3">
        <v>20898.93571952917</v>
      </c>
      <c r="E1026" s="3">
        <v>0.29619902372360202</v>
      </c>
      <c r="F1026" s="3">
        <v>4.8834800720214799</v>
      </c>
      <c r="G1026" s="3">
        <v>1294</v>
      </c>
      <c r="H1026" s="4">
        <v>116818208</v>
      </c>
      <c r="I1026" s="3">
        <v>0.40283999999999998</v>
      </c>
      <c r="J1026" s="3">
        <v>64.257931890011335</v>
      </c>
      <c r="K1026" s="3">
        <v>66.331889103217051</v>
      </c>
    </row>
    <row r="1027" spans="1:11" x14ac:dyDescent="0.2">
      <c r="A1027" s="2" t="s">
        <v>103</v>
      </c>
      <c r="B1027" s="2" t="s">
        <v>104</v>
      </c>
      <c r="C1027" s="3">
        <v>2013</v>
      </c>
      <c r="D1027" s="3">
        <v>20805.348041191199</v>
      </c>
      <c r="E1027" s="3">
        <v>0.30235099792480502</v>
      </c>
      <c r="F1027" s="3">
        <v>4.5085802078247097</v>
      </c>
      <c r="G1027" s="3">
        <v>1210</v>
      </c>
      <c r="H1027" s="4">
        <v>118343573</v>
      </c>
      <c r="I1027" s="3">
        <v>0.40805999999999998</v>
      </c>
      <c r="J1027" s="3">
        <v>62.691674773580708</v>
      </c>
      <c r="K1027" s="3">
        <v>66.554659876071639</v>
      </c>
    </row>
    <row r="1028" spans="1:11" x14ac:dyDescent="0.2">
      <c r="A1028" s="2" t="s">
        <v>103</v>
      </c>
      <c r="B1028" s="2" t="s">
        <v>104</v>
      </c>
      <c r="C1028" s="3">
        <v>2014</v>
      </c>
      <c r="D1028" s="3">
        <v>21069.76616491286</v>
      </c>
      <c r="E1028" s="3">
        <v>0.13397090137004899</v>
      </c>
      <c r="F1028" s="3">
        <v>5.0680899620056197</v>
      </c>
      <c r="G1028" s="3">
        <v>1246</v>
      </c>
      <c r="H1028" s="4">
        <v>119784261</v>
      </c>
      <c r="I1028" s="3">
        <v>0.41961999999999999</v>
      </c>
      <c r="J1028" s="3">
        <v>64.098409035121534</v>
      </c>
      <c r="K1028" s="3">
        <v>67.328091110686714</v>
      </c>
    </row>
    <row r="1029" spans="1:11" x14ac:dyDescent="0.2">
      <c r="A1029" s="2" t="s">
        <v>103</v>
      </c>
      <c r="B1029" s="2" t="s">
        <v>104</v>
      </c>
      <c r="C1029" s="3">
        <v>2015</v>
      </c>
      <c r="D1029" s="3">
        <v>21408.928320149331</v>
      </c>
      <c r="E1029" s="3">
        <v>0.117517560720444</v>
      </c>
      <c r="F1029" s="3">
        <v>5.0508799552917498</v>
      </c>
      <c r="G1029" s="3">
        <v>1364</v>
      </c>
      <c r="H1029" s="4">
        <v>121072306</v>
      </c>
      <c r="I1029" s="3">
        <v>0.41477000000000003</v>
      </c>
      <c r="J1029" s="3">
        <v>70.412974676263985</v>
      </c>
      <c r="K1029" s="3">
        <v>67.249835682454801</v>
      </c>
    </row>
    <row r="1030" spans="1:11" x14ac:dyDescent="0.2">
      <c r="A1030" s="2" t="s">
        <v>103</v>
      </c>
      <c r="B1030" s="2" t="s">
        <v>104</v>
      </c>
      <c r="C1030" s="3">
        <v>2016</v>
      </c>
      <c r="D1030" s="3">
        <v>21578.263355409199</v>
      </c>
      <c r="E1030" s="3">
        <v>2.7610577642917598E-2</v>
      </c>
      <c r="F1030" s="3">
        <v>4.7579598426818803</v>
      </c>
      <c r="G1030" s="3">
        <v>1310</v>
      </c>
      <c r="H1030" s="4">
        <v>122251351</v>
      </c>
      <c r="I1030" s="3">
        <v>0.37601000000000001</v>
      </c>
      <c r="J1030" s="3">
        <v>75.690303408855058</v>
      </c>
      <c r="K1030" s="3">
        <v>67.946949635005538</v>
      </c>
    </row>
    <row r="1031" spans="1:11" x14ac:dyDescent="0.2">
      <c r="A1031" s="2" t="s">
        <v>103</v>
      </c>
      <c r="B1031" s="2" t="s">
        <v>104</v>
      </c>
      <c r="C1031" s="3">
        <v>2017</v>
      </c>
      <c r="D1031" s="3">
        <v>21777.522511198229</v>
      </c>
      <c r="E1031" s="3">
        <v>-6.5302550792694106E-2</v>
      </c>
      <c r="F1031" s="3">
        <v>4.3975200653076199</v>
      </c>
      <c r="G1031" s="3">
        <v>1334</v>
      </c>
      <c r="H1031" s="4">
        <v>123400057</v>
      </c>
      <c r="I1031" s="3">
        <v>0.31955</v>
      </c>
      <c r="J1031" s="3">
        <v>76.952126040725375</v>
      </c>
      <c r="K1031" s="3">
        <v>68.036405939648589</v>
      </c>
    </row>
    <row r="1032" spans="1:11" x14ac:dyDescent="0.2">
      <c r="A1032" s="2" t="s">
        <v>103</v>
      </c>
      <c r="B1032" s="2" t="s">
        <v>104</v>
      </c>
      <c r="C1032" s="3">
        <v>2018</v>
      </c>
      <c r="D1032" s="3">
        <v>21997.773016747229</v>
      </c>
      <c r="E1032" s="3">
        <v>-0.29285061359405501</v>
      </c>
      <c r="F1032" s="3">
        <v>4.1394500732421902</v>
      </c>
      <c r="G1032" s="3">
        <v>1555</v>
      </c>
      <c r="H1032" s="4">
        <v>124573711</v>
      </c>
      <c r="I1032" s="3">
        <v>0.29815999999999998</v>
      </c>
      <c r="J1032" s="3">
        <v>80.212661656897524</v>
      </c>
      <c r="K1032" s="3">
        <v>69.0437863339275</v>
      </c>
    </row>
    <row r="1033" spans="1:11" x14ac:dyDescent="0.2">
      <c r="A1033" s="2" t="s">
        <v>103</v>
      </c>
      <c r="B1033" s="2" t="s">
        <v>104</v>
      </c>
      <c r="C1033" s="3">
        <v>2019</v>
      </c>
      <c r="D1033" s="3">
        <v>21704.1859494071</v>
      </c>
      <c r="E1033" s="3">
        <v>-0.30668485164642301</v>
      </c>
      <c r="F1033" s="2"/>
      <c r="G1033" s="3">
        <v>1305</v>
      </c>
      <c r="H1033" s="4">
        <v>125762982</v>
      </c>
      <c r="I1033" s="3">
        <v>0.27606000000000003</v>
      </c>
      <c r="J1033" s="3">
        <v>77.461972257112805</v>
      </c>
      <c r="K1033" s="3">
        <v>69.108818826924704</v>
      </c>
    </row>
    <row r="1034" spans="1:11" x14ac:dyDescent="0.2">
      <c r="A1034" s="2" t="s">
        <v>103</v>
      </c>
      <c r="B1034" s="2" t="s">
        <v>104</v>
      </c>
      <c r="C1034" s="3">
        <v>2020</v>
      </c>
      <c r="D1034" s="3">
        <v>19728.481782315819</v>
      </c>
      <c r="E1034" s="3">
        <v>-0.27033868432045</v>
      </c>
      <c r="F1034" s="3">
        <v>4.4996700286865199</v>
      </c>
      <c r="G1034" s="3">
        <v>1132</v>
      </c>
      <c r="H1034" s="4">
        <v>126799054</v>
      </c>
      <c r="I1034" s="3">
        <v>0.29191</v>
      </c>
      <c r="J1034" s="3">
        <v>76.85455570560157</v>
      </c>
      <c r="K1034" s="3">
        <v>69.265715202444611</v>
      </c>
    </row>
    <row r="1035" spans="1:11" x14ac:dyDescent="0.2">
      <c r="A1035" s="2" t="s">
        <v>103</v>
      </c>
      <c r="B1035" s="2" t="s">
        <v>104</v>
      </c>
      <c r="C1035" s="3">
        <v>2021</v>
      </c>
      <c r="D1035" s="3">
        <v>20782.587741754542</v>
      </c>
      <c r="E1035" s="3">
        <v>-0.34354379773139998</v>
      </c>
      <c r="F1035" s="3">
        <v>4.2382302284240696</v>
      </c>
      <c r="G1035" s="3">
        <v>1117</v>
      </c>
      <c r="H1035" s="4">
        <v>127648148</v>
      </c>
      <c r="I1035" s="3">
        <v>0.27378000000000002</v>
      </c>
      <c r="J1035" s="3">
        <v>83.069297635789482</v>
      </c>
      <c r="K1035" s="3">
        <v>69.499782072829134</v>
      </c>
    </row>
    <row r="1036" spans="1:11" x14ac:dyDescent="0.2">
      <c r="A1036" s="2" t="s">
        <v>105</v>
      </c>
      <c r="B1036" s="2" t="s">
        <v>106</v>
      </c>
      <c r="C1036" s="3">
        <v>2000</v>
      </c>
      <c r="D1036" s="3">
        <v>5727.0792252535184</v>
      </c>
      <c r="E1036" s="3">
        <v>-0.53563827276229903</v>
      </c>
      <c r="F1036" s="3">
        <v>4.48639011383057</v>
      </c>
      <c r="G1036" s="3">
        <v>240</v>
      </c>
      <c r="H1036" s="4">
        <v>2924668</v>
      </c>
      <c r="I1036" s="2"/>
      <c r="J1036" s="3">
        <v>126.163100130478</v>
      </c>
      <c r="K1036" s="3">
        <v>64.994876041666657</v>
      </c>
    </row>
    <row r="1037" spans="1:11" x14ac:dyDescent="0.2">
      <c r="A1037" s="2" t="s">
        <v>105</v>
      </c>
      <c r="B1037" s="2" t="s">
        <v>106</v>
      </c>
      <c r="C1037" s="3">
        <v>2001</v>
      </c>
      <c r="D1037" s="3">
        <v>6090.0347435611202</v>
      </c>
      <c r="E1037" s="2"/>
      <c r="F1037" s="3">
        <v>4.8468499183654803</v>
      </c>
      <c r="G1037" s="3">
        <v>437</v>
      </c>
      <c r="H1037" s="4">
        <v>2918135</v>
      </c>
      <c r="I1037" s="2"/>
      <c r="J1037" s="3">
        <v>124.5007395993529</v>
      </c>
      <c r="K1037" s="3">
        <v>65.481314285714291</v>
      </c>
    </row>
    <row r="1038" spans="1:11" x14ac:dyDescent="0.2">
      <c r="A1038" s="2" t="s">
        <v>105</v>
      </c>
      <c r="B1038" s="2" t="s">
        <v>106</v>
      </c>
      <c r="C1038" s="3">
        <v>2002</v>
      </c>
      <c r="D1038" s="3">
        <v>6580.2784143683784</v>
      </c>
      <c r="E1038" s="3">
        <v>-0.58601862192153897</v>
      </c>
      <c r="F1038" s="3">
        <v>5.4979100227356001</v>
      </c>
      <c r="G1038" s="3">
        <v>239</v>
      </c>
      <c r="H1038" s="4">
        <v>2911385</v>
      </c>
      <c r="I1038" s="2"/>
      <c r="J1038" s="3">
        <v>129.83952550153489</v>
      </c>
      <c r="K1038" s="3">
        <v>67.482566443452384</v>
      </c>
    </row>
    <row r="1039" spans="1:11" x14ac:dyDescent="0.2">
      <c r="A1039" s="2" t="s">
        <v>105</v>
      </c>
      <c r="B1039" s="2" t="s">
        <v>106</v>
      </c>
      <c r="C1039" s="3">
        <v>2003</v>
      </c>
      <c r="D1039" s="3">
        <v>7034.3578491168691</v>
      </c>
      <c r="E1039" s="3">
        <v>-0.66701316833496105</v>
      </c>
      <c r="F1039" s="3">
        <v>5.4248900413513201</v>
      </c>
      <c r="G1039" s="3">
        <v>293</v>
      </c>
      <c r="H1039" s="4">
        <v>2903198</v>
      </c>
      <c r="I1039" s="3">
        <v>0.32405</v>
      </c>
      <c r="J1039" s="3">
        <v>140.05652992505159</v>
      </c>
      <c r="K1039" s="3">
        <v>68.830226934523793</v>
      </c>
    </row>
    <row r="1040" spans="1:11" x14ac:dyDescent="0.2">
      <c r="A1040" s="2" t="s">
        <v>105</v>
      </c>
      <c r="B1040" s="2" t="s">
        <v>106</v>
      </c>
      <c r="C1040" s="3">
        <v>2004</v>
      </c>
      <c r="D1040" s="3">
        <v>7573.6178454750952</v>
      </c>
      <c r="E1040" s="3">
        <v>-0.84572142362594604</v>
      </c>
      <c r="F1040" s="3">
        <v>6.7710399627685502</v>
      </c>
      <c r="G1040" s="3">
        <v>297</v>
      </c>
      <c r="H1040" s="4">
        <v>2896023</v>
      </c>
      <c r="I1040" s="3">
        <v>0.34903000000000001</v>
      </c>
      <c r="J1040" s="3">
        <v>132.6990696803197</v>
      </c>
      <c r="K1040" s="3">
        <v>69.448617782738083</v>
      </c>
    </row>
    <row r="1041" spans="1:11" x14ac:dyDescent="0.2">
      <c r="A1041" s="2" t="s">
        <v>105</v>
      </c>
      <c r="B1041" s="2" t="s">
        <v>106</v>
      </c>
      <c r="C1041" s="3">
        <v>2005</v>
      </c>
      <c r="D1041" s="3">
        <v>8161.4734472476484</v>
      </c>
      <c r="E1041" s="3">
        <v>-0.753487408161163</v>
      </c>
      <c r="F1041" s="3">
        <v>7.1627001762390101</v>
      </c>
      <c r="G1041" s="3">
        <v>377</v>
      </c>
      <c r="H1041" s="4">
        <v>2888985</v>
      </c>
      <c r="I1041" s="3">
        <v>0.39865</v>
      </c>
      <c r="J1041" s="3">
        <v>143.02356846913841</v>
      </c>
      <c r="K1041" s="3">
        <v>69.296617708333343</v>
      </c>
    </row>
    <row r="1042" spans="1:11" x14ac:dyDescent="0.2">
      <c r="A1042" s="2" t="s">
        <v>105</v>
      </c>
      <c r="B1042" s="2" t="s">
        <v>106</v>
      </c>
      <c r="C1042" s="3">
        <v>2006</v>
      </c>
      <c r="D1042" s="3">
        <v>8577.0285803728621</v>
      </c>
      <c r="E1042" s="3">
        <v>-0.79971152544021595</v>
      </c>
      <c r="F1042" s="3">
        <v>7.4989900588989302</v>
      </c>
      <c r="G1042" s="3">
        <v>303</v>
      </c>
      <c r="H1042" s="4">
        <v>2880967</v>
      </c>
      <c r="I1042" s="3">
        <v>0.40622000000000003</v>
      </c>
      <c r="J1042" s="3">
        <v>137.15476381999369</v>
      </c>
      <c r="K1042" s="3">
        <v>71.262595089285725</v>
      </c>
    </row>
    <row r="1043" spans="1:11" x14ac:dyDescent="0.2">
      <c r="A1043" s="2" t="s">
        <v>105</v>
      </c>
      <c r="B1043" s="2" t="s">
        <v>106</v>
      </c>
      <c r="C1043" s="3">
        <v>2007</v>
      </c>
      <c r="D1043" s="3">
        <v>8854.8339761672432</v>
      </c>
      <c r="E1043" s="3">
        <v>-0.83270710706710804</v>
      </c>
      <c r="F1043" s="3">
        <v>8.2933702468872106</v>
      </c>
      <c r="G1043" s="3">
        <v>333</v>
      </c>
      <c r="H1043" s="4">
        <v>2874299</v>
      </c>
      <c r="I1043" s="3">
        <v>0.54557</v>
      </c>
      <c r="J1043" s="3">
        <v>142.72053902302079</v>
      </c>
      <c r="K1043" s="3">
        <v>71.928042708333336</v>
      </c>
    </row>
    <row r="1044" spans="1:11" x14ac:dyDescent="0.2">
      <c r="A1044" s="2" t="s">
        <v>105</v>
      </c>
      <c r="B1044" s="2" t="s">
        <v>106</v>
      </c>
      <c r="C1044" s="3">
        <v>2008</v>
      </c>
      <c r="D1044" s="3">
        <v>9563.6981429093867</v>
      </c>
      <c r="E1044" s="3">
        <v>-0.78443080186843905</v>
      </c>
      <c r="F1044" s="3">
        <v>8.2372703552246094</v>
      </c>
      <c r="G1044" s="3">
        <v>273</v>
      </c>
      <c r="H1044" s="4">
        <v>2868833</v>
      </c>
      <c r="I1044" s="3">
        <v>0.53463000000000005</v>
      </c>
      <c r="J1044" s="3">
        <v>134.42160134770029</v>
      </c>
      <c r="K1044" s="3">
        <v>72.394351488095239</v>
      </c>
    </row>
    <row r="1045" spans="1:11" x14ac:dyDescent="0.2">
      <c r="A1045" s="2" t="s">
        <v>105</v>
      </c>
      <c r="B1045" s="2" t="s">
        <v>106</v>
      </c>
      <c r="C1045" s="3">
        <v>2009</v>
      </c>
      <c r="D1045" s="3">
        <v>9001.2343208162165</v>
      </c>
      <c r="E1045" s="3">
        <v>-0.55625790357589699</v>
      </c>
      <c r="F1045" s="3">
        <v>9.5097599029540998</v>
      </c>
      <c r="G1045" s="3">
        <v>134</v>
      </c>
      <c r="H1045" s="4">
        <v>2865213</v>
      </c>
      <c r="I1045" s="3">
        <v>0.52556999999999998</v>
      </c>
      <c r="J1045" s="3">
        <v>110.3633268504946</v>
      </c>
      <c r="K1045" s="3">
        <v>73.149471875000003</v>
      </c>
    </row>
    <row r="1046" spans="1:11" x14ac:dyDescent="0.2">
      <c r="A1046" s="2" t="s">
        <v>105</v>
      </c>
      <c r="B1046" s="2" t="s">
        <v>106</v>
      </c>
      <c r="C1046" s="3">
        <v>2010</v>
      </c>
      <c r="D1046" s="3">
        <v>9649.9509930271015</v>
      </c>
      <c r="E1046" s="3">
        <v>-0.65664571523666404</v>
      </c>
      <c r="F1046" s="3">
        <v>7.5922999382018999</v>
      </c>
      <c r="G1046" s="3">
        <v>139</v>
      </c>
      <c r="H1046" s="4">
        <v>2862354</v>
      </c>
      <c r="I1046" s="3">
        <v>0.36649999999999999</v>
      </c>
      <c r="J1046" s="3">
        <v>87.93785189515728</v>
      </c>
      <c r="K1046" s="3">
        <v>73.936368005952374</v>
      </c>
    </row>
    <row r="1047" spans="1:11" x14ac:dyDescent="0.2">
      <c r="A1047" s="2" t="s">
        <v>105</v>
      </c>
      <c r="B1047" s="2" t="s">
        <v>106</v>
      </c>
      <c r="C1047" s="3">
        <v>2011</v>
      </c>
      <c r="D1047" s="3">
        <v>10217.30877612553</v>
      </c>
      <c r="E1047" s="3">
        <v>-0.60760176181793202</v>
      </c>
      <c r="F1047" s="3">
        <v>7.1363801956176802</v>
      </c>
      <c r="G1047" s="3">
        <v>97</v>
      </c>
      <c r="H1047" s="4">
        <v>2860699</v>
      </c>
      <c r="I1047" s="3">
        <v>0.33764</v>
      </c>
      <c r="J1047" s="3">
        <v>98.617596532655611</v>
      </c>
      <c r="K1047" s="3">
        <v>74.542343824404767</v>
      </c>
    </row>
    <row r="1048" spans="1:11" x14ac:dyDescent="0.2">
      <c r="A1048" s="2" t="s">
        <v>105</v>
      </c>
      <c r="B1048" s="2" t="s">
        <v>106</v>
      </c>
      <c r="C1048" s="3">
        <v>2012</v>
      </c>
      <c r="D1048" s="3">
        <v>10158.385467688289</v>
      </c>
      <c r="E1048" s="3">
        <v>-0.55792099237442005</v>
      </c>
      <c r="F1048" s="3">
        <v>6.9833898544311497</v>
      </c>
      <c r="G1048" s="3">
        <v>93</v>
      </c>
      <c r="H1048" s="4">
        <v>2860324</v>
      </c>
      <c r="I1048" s="3">
        <v>0.34906999999999999</v>
      </c>
      <c r="J1048" s="3">
        <v>96.306409833629431</v>
      </c>
      <c r="K1048" s="3">
        <v>75.40392968750001</v>
      </c>
    </row>
    <row r="1049" spans="1:11" x14ac:dyDescent="0.2">
      <c r="A1049" s="2" t="s">
        <v>105</v>
      </c>
      <c r="B1049" s="2" t="s">
        <v>106</v>
      </c>
      <c r="C1049" s="3">
        <v>2013</v>
      </c>
      <c r="D1049" s="3">
        <v>11080.06345853405</v>
      </c>
      <c r="E1049" s="3">
        <v>-0.40767017006874101</v>
      </c>
      <c r="F1049" s="3">
        <v>5.9097551649447704</v>
      </c>
      <c r="G1049" s="3">
        <v>67</v>
      </c>
      <c r="H1049" s="4">
        <v>2859558</v>
      </c>
      <c r="I1049" s="3">
        <v>0.29782999999999998</v>
      </c>
      <c r="J1049" s="3">
        <v>95.687296833238349</v>
      </c>
      <c r="K1049" s="3">
        <v>75.711444791666665</v>
      </c>
    </row>
    <row r="1050" spans="1:11" x14ac:dyDescent="0.2">
      <c r="A1050" s="2" t="s">
        <v>105</v>
      </c>
      <c r="B1050" s="2" t="s">
        <v>106</v>
      </c>
      <c r="C1050" s="3">
        <v>2014</v>
      </c>
      <c r="D1050" s="3">
        <v>11641.120843657691</v>
      </c>
      <c r="E1050" s="3">
        <v>-0.41993334889411899</v>
      </c>
      <c r="F1050" s="3">
        <v>6.3380699157714799</v>
      </c>
      <c r="G1050" s="3">
        <v>67</v>
      </c>
      <c r="H1050" s="4">
        <v>2857815</v>
      </c>
      <c r="I1050" s="3">
        <v>0.31463000000000002</v>
      </c>
      <c r="J1050" s="3">
        <v>94.228291969092766</v>
      </c>
      <c r="K1050" s="3">
        <v>77.349308854166679</v>
      </c>
    </row>
    <row r="1051" spans="1:11" x14ac:dyDescent="0.2">
      <c r="A1051" s="2" t="s">
        <v>105</v>
      </c>
      <c r="B1051" s="2" t="s">
        <v>106</v>
      </c>
      <c r="C1051" s="3">
        <v>2015</v>
      </c>
      <c r="D1051" s="3">
        <v>11691.0797484184</v>
      </c>
      <c r="E1051" s="3">
        <v>-0.72113907337188698</v>
      </c>
      <c r="F1051" s="3">
        <v>5.7666540594424598</v>
      </c>
      <c r="G1051" s="3">
        <v>64</v>
      </c>
      <c r="H1051" s="4">
        <v>2835978</v>
      </c>
      <c r="I1051" s="3">
        <v>0.30735000000000001</v>
      </c>
      <c r="J1051" s="3">
        <v>88.966415456532289</v>
      </c>
      <c r="K1051" s="3">
        <v>77.44092239583334</v>
      </c>
    </row>
    <row r="1052" spans="1:11" x14ac:dyDescent="0.2">
      <c r="A1052" s="2" t="s">
        <v>105</v>
      </c>
      <c r="B1052" s="2" t="s">
        <v>106</v>
      </c>
      <c r="C1052" s="3">
        <v>2016</v>
      </c>
      <c r="D1052" s="3">
        <v>12377.366678394041</v>
      </c>
      <c r="E1052" s="3">
        <v>-0.69378721714019798</v>
      </c>
      <c r="F1052" s="3">
        <v>5.67208003997803</v>
      </c>
      <c r="G1052" s="3">
        <v>91</v>
      </c>
      <c r="H1052" s="4">
        <v>2803186</v>
      </c>
      <c r="I1052" s="3">
        <v>0.28004000000000001</v>
      </c>
      <c r="J1052" s="3">
        <v>89.004683718867071</v>
      </c>
      <c r="K1052" s="3">
        <v>77.58517656250001</v>
      </c>
    </row>
    <row r="1053" spans="1:11" x14ac:dyDescent="0.2">
      <c r="A1053" s="2" t="s">
        <v>105</v>
      </c>
      <c r="B1053" s="2" t="s">
        <v>106</v>
      </c>
      <c r="C1053" s="3">
        <v>2017</v>
      </c>
      <c r="D1053" s="3">
        <v>13118.821936960539</v>
      </c>
      <c r="E1053" s="3">
        <v>-0.57728850841522195</v>
      </c>
      <c r="F1053" s="3">
        <v>5.7101697921752903</v>
      </c>
      <c r="G1053" s="3">
        <v>73</v>
      </c>
      <c r="H1053" s="4">
        <v>2755189</v>
      </c>
      <c r="I1053" s="3">
        <v>0.25789000000000001</v>
      </c>
      <c r="J1053" s="3">
        <v>88.623390275437842</v>
      </c>
      <c r="K1053" s="3">
        <v>77.847936755952389</v>
      </c>
    </row>
    <row r="1054" spans="1:11" x14ac:dyDescent="0.2">
      <c r="A1054" s="2" t="s">
        <v>105</v>
      </c>
      <c r="B1054" s="2" t="s">
        <v>106</v>
      </c>
      <c r="C1054" s="3">
        <v>2018</v>
      </c>
      <c r="D1054" s="3">
        <v>13895.50436556919</v>
      </c>
      <c r="E1054" s="3">
        <v>-0.505967557430267</v>
      </c>
      <c r="F1054" s="3">
        <v>5.53887987136841</v>
      </c>
      <c r="G1054" s="3">
        <v>92</v>
      </c>
      <c r="H1054" s="4">
        <v>2707203</v>
      </c>
      <c r="I1054" s="3">
        <v>0.25625999999999999</v>
      </c>
      <c r="J1054" s="3">
        <v>87.446787427564757</v>
      </c>
      <c r="K1054" s="3">
        <v>77.872675967261898</v>
      </c>
    </row>
    <row r="1055" spans="1:11" x14ac:dyDescent="0.2">
      <c r="A1055" s="2" t="s">
        <v>105</v>
      </c>
      <c r="B1055" s="2" t="s">
        <v>106</v>
      </c>
      <c r="C1055" s="3">
        <v>2019</v>
      </c>
      <c r="D1055" s="3">
        <v>14621.240136228589</v>
      </c>
      <c r="E1055" s="3">
        <v>-0.44143050909042397</v>
      </c>
      <c r="F1055" s="3">
        <v>6.22576999664307</v>
      </c>
      <c r="G1055" s="3">
        <v>85</v>
      </c>
      <c r="H1055" s="4">
        <v>2664224</v>
      </c>
      <c r="I1055" s="3">
        <v>0.24145</v>
      </c>
      <c r="J1055" s="3">
        <v>87.632237114890629</v>
      </c>
      <c r="K1055" s="3">
        <v>78.134315550595247</v>
      </c>
    </row>
    <row r="1056" spans="1:11" x14ac:dyDescent="0.2">
      <c r="A1056" s="2" t="s">
        <v>105</v>
      </c>
      <c r="B1056" s="2" t="s">
        <v>106</v>
      </c>
      <c r="C1056" s="3">
        <v>2020</v>
      </c>
      <c r="D1056" s="3">
        <v>13559.26002174829</v>
      </c>
      <c r="E1056" s="3">
        <v>-0.53360027074813798</v>
      </c>
      <c r="F1056" s="3">
        <v>6.6012601852417001</v>
      </c>
      <c r="G1056" s="3">
        <v>85</v>
      </c>
      <c r="H1056" s="4">
        <v>2635130</v>
      </c>
      <c r="I1056" s="3">
        <v>0.23511000000000001</v>
      </c>
      <c r="J1056" s="3">
        <v>79.265722119158013</v>
      </c>
      <c r="K1056" s="3">
        <v>78.269923139880945</v>
      </c>
    </row>
    <row r="1057" spans="1:11" x14ac:dyDescent="0.2">
      <c r="A1057" s="2" t="s">
        <v>105</v>
      </c>
      <c r="B1057" s="2" t="s">
        <v>106</v>
      </c>
      <c r="C1057" s="3">
        <v>2021</v>
      </c>
      <c r="D1057" s="3">
        <v>15682.07032846535</v>
      </c>
      <c r="E1057" s="3">
        <v>-0.43780052661895802</v>
      </c>
      <c r="F1057" s="3">
        <v>5.8240599632263201</v>
      </c>
      <c r="G1057" s="3">
        <v>64</v>
      </c>
      <c r="H1057" s="4">
        <v>2595809</v>
      </c>
      <c r="I1057" s="3">
        <v>0.23154</v>
      </c>
      <c r="J1057" s="3">
        <v>88.470886539926667</v>
      </c>
      <c r="K1057" s="3">
        <v>79.082358928571409</v>
      </c>
    </row>
    <row r="1058" spans="1:11" x14ac:dyDescent="0.2">
      <c r="A1058" s="2" t="s">
        <v>107</v>
      </c>
      <c r="B1058" s="2" t="s">
        <v>108</v>
      </c>
      <c r="C1058" s="3">
        <v>2000</v>
      </c>
      <c r="D1058" s="3">
        <v>5818.2430784290082</v>
      </c>
      <c r="E1058" s="3">
        <v>-0.32578685879707298</v>
      </c>
      <c r="F1058" s="3">
        <v>5.5503702163696298</v>
      </c>
      <c r="G1058" s="2"/>
      <c r="H1058" s="4">
        <v>2388299</v>
      </c>
      <c r="I1058" s="3">
        <v>0.18756999999999999</v>
      </c>
      <c r="J1058" s="3">
        <v>121.8866097542076</v>
      </c>
      <c r="K1058" s="3">
        <v>59.097044453463212</v>
      </c>
    </row>
    <row r="1059" spans="1:11" x14ac:dyDescent="0.2">
      <c r="A1059" s="2" t="s">
        <v>107</v>
      </c>
      <c r="B1059" s="2" t="s">
        <v>108</v>
      </c>
      <c r="C1059" s="3">
        <v>2001</v>
      </c>
      <c r="D1059" s="3">
        <v>5917.0708839634271</v>
      </c>
      <c r="E1059" s="2"/>
      <c r="F1059" s="2"/>
      <c r="G1059" s="3">
        <v>106</v>
      </c>
      <c r="H1059" s="4">
        <v>2417751</v>
      </c>
      <c r="I1059" s="3">
        <v>0.26749000000000001</v>
      </c>
      <c r="J1059" s="3">
        <v>115.8183268788801</v>
      </c>
      <c r="K1059" s="3">
        <v>59.884513203463207</v>
      </c>
    </row>
    <row r="1060" spans="1:11" x14ac:dyDescent="0.2">
      <c r="A1060" s="2" t="s">
        <v>107</v>
      </c>
      <c r="B1060" s="2" t="s">
        <v>108</v>
      </c>
      <c r="C1060" s="3">
        <v>2002</v>
      </c>
      <c r="D1060" s="3">
        <v>6117.9824222592024</v>
      </c>
      <c r="E1060" s="3">
        <v>-0.11511665582656901</v>
      </c>
      <c r="F1060" s="3">
        <v>7.2107801437377903</v>
      </c>
      <c r="G1060" s="3">
        <v>121</v>
      </c>
      <c r="H1060" s="4">
        <v>2449027</v>
      </c>
      <c r="I1060" s="3">
        <v>0.25173000000000001</v>
      </c>
      <c r="J1060" s="3">
        <v>118.5172531139431</v>
      </c>
      <c r="K1060" s="3">
        <v>60.578112385010812</v>
      </c>
    </row>
    <row r="1061" spans="1:11" x14ac:dyDescent="0.2">
      <c r="A1061" s="2" t="s">
        <v>107</v>
      </c>
      <c r="B1061" s="2" t="s">
        <v>108</v>
      </c>
      <c r="C1061" s="3">
        <v>2003</v>
      </c>
      <c r="D1061" s="3">
        <v>6463.7896665176168</v>
      </c>
      <c r="E1061" s="3">
        <v>-0.214628025889397</v>
      </c>
      <c r="F1061" s="2"/>
      <c r="G1061" s="3">
        <v>167</v>
      </c>
      <c r="H1061" s="4">
        <v>2480374</v>
      </c>
      <c r="I1061" s="3">
        <v>0.25180000000000002</v>
      </c>
      <c r="J1061" s="3">
        <v>120.29939351488061</v>
      </c>
      <c r="K1061" s="3">
        <v>61.225365510010832</v>
      </c>
    </row>
    <row r="1062" spans="1:11" x14ac:dyDescent="0.2">
      <c r="A1062" s="2" t="s">
        <v>107</v>
      </c>
      <c r="B1062" s="2" t="s">
        <v>108</v>
      </c>
      <c r="C1062" s="3">
        <v>2004</v>
      </c>
      <c r="D1062" s="3">
        <v>7070.6671584509986</v>
      </c>
      <c r="E1062" s="3">
        <v>-0.37596940994262701</v>
      </c>
      <c r="F1062" s="3">
        <v>4.3257298469543501</v>
      </c>
      <c r="G1062" s="3">
        <v>143</v>
      </c>
      <c r="H1062" s="4">
        <v>2508412</v>
      </c>
      <c r="I1062" s="3">
        <v>0.26777000000000001</v>
      </c>
      <c r="J1062" s="3">
        <v>131.32931823355429</v>
      </c>
      <c r="K1062" s="3">
        <v>62.116169338474037</v>
      </c>
    </row>
    <row r="1063" spans="1:11" x14ac:dyDescent="0.2">
      <c r="A1063" s="2" t="s">
        <v>107</v>
      </c>
      <c r="B1063" s="2" t="s">
        <v>108</v>
      </c>
      <c r="C1063" s="3">
        <v>2005</v>
      </c>
      <c r="D1063" s="3">
        <v>7499.8480393542786</v>
      </c>
      <c r="E1063" s="3">
        <v>-0.37312629818916299</v>
      </c>
      <c r="F1063" s="2"/>
      <c r="G1063" s="3">
        <v>100</v>
      </c>
      <c r="H1063" s="4">
        <v>2536407</v>
      </c>
      <c r="I1063" s="3">
        <v>0.23776</v>
      </c>
      <c r="J1063" s="3">
        <v>122.3814598897729</v>
      </c>
      <c r="K1063" s="3">
        <v>62.188549350649353</v>
      </c>
    </row>
    <row r="1064" spans="1:11" x14ac:dyDescent="0.2">
      <c r="A1064" s="2" t="s">
        <v>107</v>
      </c>
      <c r="B1064" s="2" t="s">
        <v>108</v>
      </c>
      <c r="C1064" s="3">
        <v>2006</v>
      </c>
      <c r="D1064" s="3">
        <v>8043.996781085566</v>
      </c>
      <c r="E1064" s="3">
        <v>-0.48952570557594299</v>
      </c>
      <c r="F1064" s="2"/>
      <c r="G1064" s="3">
        <v>103</v>
      </c>
      <c r="H1064" s="4">
        <v>2567168</v>
      </c>
      <c r="I1064" s="3">
        <v>0.19120999999999999</v>
      </c>
      <c r="J1064" s="3">
        <v>112.9299830969827</v>
      </c>
      <c r="K1064" s="3">
        <v>62.821577678571423</v>
      </c>
    </row>
    <row r="1065" spans="1:11" x14ac:dyDescent="0.2">
      <c r="A1065" s="2" t="s">
        <v>107</v>
      </c>
      <c r="B1065" s="2" t="s">
        <v>108</v>
      </c>
      <c r="C1065" s="3">
        <v>2007</v>
      </c>
      <c r="D1065" s="3">
        <v>8750.1340744229929</v>
      </c>
      <c r="E1065" s="3">
        <v>-0.537642061710358</v>
      </c>
      <c r="F1065" s="3">
        <v>4.6901302337646502</v>
      </c>
      <c r="G1065" s="2"/>
      <c r="H1065" s="4">
        <v>2601850</v>
      </c>
      <c r="I1065" s="3">
        <v>0.23827000000000001</v>
      </c>
      <c r="J1065" s="3">
        <v>117.88042642537719</v>
      </c>
      <c r="K1065" s="3">
        <v>62.238336640963219</v>
      </c>
    </row>
    <row r="1066" spans="1:11" x14ac:dyDescent="0.2">
      <c r="A1066" s="2" t="s">
        <v>107</v>
      </c>
      <c r="B1066" s="2" t="s">
        <v>108</v>
      </c>
      <c r="C1066" s="3">
        <v>2008</v>
      </c>
      <c r="D1066" s="3">
        <v>9379.8548968776504</v>
      </c>
      <c r="E1066" s="3">
        <v>-0.523842573165894</v>
      </c>
      <c r="F1066" s="2"/>
      <c r="G1066" s="2"/>
      <c r="H1066" s="4">
        <v>2643201</v>
      </c>
      <c r="I1066" s="3">
        <v>0.33667000000000002</v>
      </c>
      <c r="J1066" s="3">
        <v>121.1980134011834</v>
      </c>
      <c r="K1066" s="3">
        <v>62.621750662878789</v>
      </c>
    </row>
    <row r="1067" spans="1:11" x14ac:dyDescent="0.2">
      <c r="A1067" s="2" t="s">
        <v>107</v>
      </c>
      <c r="B1067" s="2" t="s">
        <v>108</v>
      </c>
      <c r="C1067" s="3">
        <v>2009</v>
      </c>
      <c r="D1067" s="3">
        <v>9095.9769892529039</v>
      </c>
      <c r="E1067" s="3">
        <v>-0.66338807344436601</v>
      </c>
      <c r="F1067" s="3">
        <v>5.1448497772216797</v>
      </c>
      <c r="G1067" s="3">
        <v>76</v>
      </c>
      <c r="H1067" s="4">
        <v>2691115</v>
      </c>
      <c r="I1067" s="3">
        <v>0.30478</v>
      </c>
      <c r="J1067" s="3">
        <v>107.8137571661765</v>
      </c>
      <c r="K1067" s="3">
        <v>62.560458285984843</v>
      </c>
    </row>
    <row r="1068" spans="1:11" x14ac:dyDescent="0.2">
      <c r="A1068" s="2" t="s">
        <v>107</v>
      </c>
      <c r="B1068" s="2" t="s">
        <v>108</v>
      </c>
      <c r="C1068" s="3">
        <v>2010</v>
      </c>
      <c r="D1068" s="3">
        <v>9507.118823625</v>
      </c>
      <c r="E1068" s="3">
        <v>-0.56157588958740201</v>
      </c>
      <c r="F1068" s="3">
        <v>4.6451001167297399</v>
      </c>
      <c r="G1068" s="3">
        <v>110</v>
      </c>
      <c r="H1068" s="4">
        <v>2738622</v>
      </c>
      <c r="I1068" s="3">
        <v>0.24437999999999999</v>
      </c>
      <c r="J1068" s="3">
        <v>103.35003165655731</v>
      </c>
      <c r="K1068" s="3">
        <v>64.001874885010821</v>
      </c>
    </row>
    <row r="1069" spans="1:11" x14ac:dyDescent="0.2">
      <c r="A1069" s="2" t="s">
        <v>107</v>
      </c>
      <c r="B1069" s="2" t="s">
        <v>108</v>
      </c>
      <c r="C1069" s="3">
        <v>2011</v>
      </c>
      <c r="D1069" s="3">
        <v>10960.09592838643</v>
      </c>
      <c r="E1069" s="3">
        <v>-0.57565957307815596</v>
      </c>
      <c r="F1069" s="3">
        <v>4.60902976989746</v>
      </c>
      <c r="G1069" s="2"/>
      <c r="H1069" s="4">
        <v>2786317</v>
      </c>
      <c r="I1069" s="3">
        <v>0.23053999999999999</v>
      </c>
      <c r="J1069" s="3">
        <v>126.9992286334822</v>
      </c>
      <c r="K1069" s="3">
        <v>63.191859449404767</v>
      </c>
    </row>
    <row r="1070" spans="1:11" x14ac:dyDescent="0.2">
      <c r="A1070" s="2" t="s">
        <v>107</v>
      </c>
      <c r="B1070" s="2" t="s">
        <v>108</v>
      </c>
      <c r="C1070" s="3">
        <v>2012</v>
      </c>
      <c r="D1070" s="3">
        <v>12078.918532006181</v>
      </c>
      <c r="E1070" s="3">
        <v>-0.62613141536712602</v>
      </c>
      <c r="F1070" s="3">
        <v>5.1952099800109899</v>
      </c>
      <c r="G1070" s="2"/>
      <c r="H1070" s="4">
        <v>2839705</v>
      </c>
      <c r="I1070" s="3">
        <v>0.23913000000000001</v>
      </c>
      <c r="J1070" s="3">
        <v>109.58856433841549</v>
      </c>
      <c r="K1070" s="3">
        <v>62.739724621212133</v>
      </c>
    </row>
    <row r="1071" spans="1:11" x14ac:dyDescent="0.2">
      <c r="A1071" s="2" t="s">
        <v>107</v>
      </c>
      <c r="B1071" s="2" t="s">
        <v>108</v>
      </c>
      <c r="C1071" s="3">
        <v>2013</v>
      </c>
      <c r="D1071" s="3">
        <v>13210.09456656678</v>
      </c>
      <c r="E1071" s="3">
        <v>-0.53903579711914096</v>
      </c>
      <c r="F1071" s="3">
        <v>4.9407701492309597</v>
      </c>
      <c r="G1071" s="3">
        <v>133</v>
      </c>
      <c r="H1071" s="4">
        <v>2899011</v>
      </c>
      <c r="I1071" s="3">
        <v>0.23246</v>
      </c>
      <c r="J1071" s="3">
        <v>100.31198966294291</v>
      </c>
      <c r="K1071" s="3">
        <v>62.611023566017323</v>
      </c>
    </row>
    <row r="1072" spans="1:11" x14ac:dyDescent="0.2">
      <c r="A1072" s="2" t="s">
        <v>107</v>
      </c>
      <c r="B1072" s="2" t="s">
        <v>108</v>
      </c>
      <c r="C1072" s="3">
        <v>2014</v>
      </c>
      <c r="D1072" s="3">
        <v>13943.427714865251</v>
      </c>
      <c r="E1072" s="3">
        <v>-0.426087707281113</v>
      </c>
      <c r="F1072" s="3">
        <v>4.7148499488830602</v>
      </c>
      <c r="G1072" s="3">
        <v>139</v>
      </c>
      <c r="H1072" s="4">
        <v>2963113</v>
      </c>
      <c r="I1072" s="3">
        <v>0.22339999999999999</v>
      </c>
      <c r="J1072" s="3">
        <v>109.32231187718691</v>
      </c>
      <c r="K1072" s="3">
        <v>64.619893797348482</v>
      </c>
    </row>
    <row r="1073" spans="1:11" x14ac:dyDescent="0.2">
      <c r="A1073" s="2" t="s">
        <v>107</v>
      </c>
      <c r="B1073" s="2" t="s">
        <v>108</v>
      </c>
      <c r="C1073" s="3">
        <v>2015</v>
      </c>
      <c r="D1073" s="3">
        <v>13974.59672603652</v>
      </c>
      <c r="E1073" s="3">
        <v>-0.448192268610001</v>
      </c>
      <c r="F1073" s="3">
        <v>4.2236199378967303</v>
      </c>
      <c r="G1073" s="3">
        <v>109</v>
      </c>
      <c r="H1073" s="4">
        <v>3026864</v>
      </c>
      <c r="I1073" s="3">
        <v>0.15640000000000001</v>
      </c>
      <c r="J1073" s="3">
        <v>89.653663477813978</v>
      </c>
      <c r="K1073" s="3">
        <v>65.270126846590912</v>
      </c>
    </row>
    <row r="1074" spans="1:11" x14ac:dyDescent="0.2">
      <c r="A1074" s="2" t="s">
        <v>107</v>
      </c>
      <c r="B1074" s="2" t="s">
        <v>108</v>
      </c>
      <c r="C1074" s="3">
        <v>2016</v>
      </c>
      <c r="D1074" s="3">
        <v>13898.145695358529</v>
      </c>
      <c r="E1074" s="3">
        <v>-9.6011266112327603E-2</v>
      </c>
      <c r="F1074" s="3">
        <v>5.1831002235412598</v>
      </c>
      <c r="G1074" s="3">
        <v>112</v>
      </c>
      <c r="H1074" s="4">
        <v>3088856</v>
      </c>
      <c r="I1074" s="3">
        <v>0.18345</v>
      </c>
      <c r="J1074" s="3">
        <v>101.0552372249971</v>
      </c>
      <c r="K1074" s="3">
        <v>64.997213007305191</v>
      </c>
    </row>
    <row r="1075" spans="1:11" x14ac:dyDescent="0.2">
      <c r="A1075" s="2" t="s">
        <v>107</v>
      </c>
      <c r="B1075" s="2" t="s">
        <v>108</v>
      </c>
      <c r="C1075" s="3">
        <v>2017</v>
      </c>
      <c r="D1075" s="3">
        <v>14401.53750675622</v>
      </c>
      <c r="E1075" s="3">
        <v>-0.27835255861282299</v>
      </c>
      <c r="F1075" s="3">
        <v>4.06897020339966</v>
      </c>
      <c r="G1075" s="3">
        <v>124</v>
      </c>
      <c r="H1075" s="4">
        <v>3148917</v>
      </c>
      <c r="I1075" s="3">
        <v>0.13420000000000001</v>
      </c>
      <c r="J1075" s="3">
        <v>115.9329018679633</v>
      </c>
      <c r="K1075" s="3">
        <v>65.07060669642857</v>
      </c>
    </row>
    <row r="1076" spans="1:11" x14ac:dyDescent="0.2">
      <c r="A1076" s="2" t="s">
        <v>107</v>
      </c>
      <c r="B1076" s="2" t="s">
        <v>108</v>
      </c>
      <c r="C1076" s="3">
        <v>2018</v>
      </c>
      <c r="D1076" s="3">
        <v>15230.24088288468</v>
      </c>
      <c r="E1076" s="3">
        <v>-0.246418356895447</v>
      </c>
      <c r="F1076" s="2"/>
      <c r="G1076" s="3">
        <v>82</v>
      </c>
      <c r="H1076" s="4">
        <v>3208189</v>
      </c>
      <c r="I1076" s="3">
        <v>0.10161000000000001</v>
      </c>
      <c r="J1076" s="3">
        <v>126.3558732415128</v>
      </c>
      <c r="K1076" s="3">
        <v>64.929986857413425</v>
      </c>
    </row>
    <row r="1077" spans="1:11" x14ac:dyDescent="0.2">
      <c r="A1077" s="2" t="s">
        <v>107</v>
      </c>
      <c r="B1077" s="2" t="s">
        <v>108</v>
      </c>
      <c r="C1077" s="3">
        <v>2019</v>
      </c>
      <c r="D1077" s="3">
        <v>15790.696112644129</v>
      </c>
      <c r="E1077" s="3">
        <v>-0.234439387917519</v>
      </c>
      <c r="F1077" s="2"/>
      <c r="G1077" s="3">
        <v>84</v>
      </c>
      <c r="H1077" s="4">
        <v>3267673</v>
      </c>
      <c r="I1077" s="3">
        <v>9.2700000000000005E-2</v>
      </c>
      <c r="J1077" s="3">
        <v>124.3965146211649</v>
      </c>
      <c r="K1077" s="3">
        <v>65.057138879870138</v>
      </c>
    </row>
    <row r="1078" spans="1:11" x14ac:dyDescent="0.2">
      <c r="A1078" s="2" t="s">
        <v>107</v>
      </c>
      <c r="B1078" s="2" t="s">
        <v>108</v>
      </c>
      <c r="C1078" s="3">
        <v>2020</v>
      </c>
      <c r="D1078" s="3">
        <v>14801.342082918471</v>
      </c>
      <c r="E1078" s="3">
        <v>-0.41969206929206798</v>
      </c>
      <c r="F1078" s="2"/>
      <c r="G1078" s="3">
        <v>66</v>
      </c>
      <c r="H1078" s="4">
        <v>3327204</v>
      </c>
      <c r="I1078" s="3">
        <v>0.13300999999999999</v>
      </c>
      <c r="J1078" s="3">
        <v>112.83864762931741</v>
      </c>
      <c r="K1078" s="3">
        <v>66.421010288149347</v>
      </c>
    </row>
    <row r="1079" spans="1:11" x14ac:dyDescent="0.2">
      <c r="A1079" s="2" t="s">
        <v>107</v>
      </c>
      <c r="B1079" s="2" t="s">
        <v>108</v>
      </c>
      <c r="C1079" s="3">
        <v>2021</v>
      </c>
      <c r="D1079" s="3">
        <v>14792.250908642211</v>
      </c>
      <c r="E1079" s="3">
        <v>-0.51548135280609098</v>
      </c>
      <c r="F1079" s="2"/>
      <c r="G1079" s="3">
        <v>109</v>
      </c>
      <c r="H1079" s="4">
        <v>3383741</v>
      </c>
      <c r="I1079" s="3">
        <v>0.10008</v>
      </c>
      <c r="J1079" s="3">
        <v>119.09807843777109</v>
      </c>
      <c r="K1079" s="3">
        <v>66.094866734307374</v>
      </c>
    </row>
    <row r="1080" spans="1:11" x14ac:dyDescent="0.2">
      <c r="A1080" s="2" t="s">
        <v>109</v>
      </c>
      <c r="B1080" s="2" t="s">
        <v>110</v>
      </c>
      <c r="C1080" s="3">
        <v>2000</v>
      </c>
      <c r="D1080" s="3">
        <v>56016.872721841581</v>
      </c>
      <c r="E1080" s="3">
        <v>1.9833756685257</v>
      </c>
      <c r="F1080" s="3">
        <v>4.5832500457763699</v>
      </c>
      <c r="G1080" s="3">
        <v>2465</v>
      </c>
      <c r="H1080" s="4">
        <v>15925513</v>
      </c>
      <c r="I1080" s="3">
        <v>1.7898000000000001</v>
      </c>
      <c r="J1080" s="3">
        <v>125.66703008242089</v>
      </c>
      <c r="K1080" s="3">
        <v>76.098009390446151</v>
      </c>
    </row>
    <row r="1081" spans="1:11" x14ac:dyDescent="0.2">
      <c r="A1081" s="2" t="s">
        <v>109</v>
      </c>
      <c r="B1081" s="2" t="s">
        <v>110</v>
      </c>
      <c r="C1081" s="3">
        <v>2001</v>
      </c>
      <c r="D1081" s="3">
        <v>56887.433273111063</v>
      </c>
      <c r="E1081" s="2"/>
      <c r="F1081" s="3">
        <v>4.68933010101318</v>
      </c>
      <c r="G1081" s="3">
        <v>2110</v>
      </c>
      <c r="H1081" s="4">
        <v>16046180</v>
      </c>
      <c r="I1081" s="3">
        <v>1.79609</v>
      </c>
      <c r="J1081" s="3">
        <v>119.47546387653981</v>
      </c>
      <c r="K1081" s="3">
        <v>76.329481956931986</v>
      </c>
    </row>
    <row r="1082" spans="1:11" x14ac:dyDescent="0.2">
      <c r="A1082" s="2" t="s">
        <v>109</v>
      </c>
      <c r="B1082" s="2" t="s">
        <v>110</v>
      </c>
      <c r="C1082" s="3">
        <v>2002</v>
      </c>
      <c r="D1082" s="3">
        <v>56664.413437230301</v>
      </c>
      <c r="E1082" s="3">
        <v>1.93344473838806</v>
      </c>
      <c r="F1082" s="3">
        <v>4.78904008865356</v>
      </c>
      <c r="G1082" s="3">
        <v>2122</v>
      </c>
      <c r="H1082" s="4">
        <v>16148929</v>
      </c>
      <c r="I1082" s="3">
        <v>1.74543</v>
      </c>
      <c r="J1082" s="3">
        <v>112.750024358671</v>
      </c>
      <c r="K1082" s="3">
        <v>76.418891104973454</v>
      </c>
    </row>
    <row r="1083" spans="1:11" x14ac:dyDescent="0.2">
      <c r="A1083" s="2" t="s">
        <v>109</v>
      </c>
      <c r="B1083" s="2" t="s">
        <v>110</v>
      </c>
      <c r="C1083" s="3">
        <v>2003</v>
      </c>
      <c r="D1083" s="3">
        <v>56452.867480564368</v>
      </c>
      <c r="E1083" s="3">
        <v>1.95480120182037</v>
      </c>
      <c r="F1083" s="3">
        <v>5.0199499130248997</v>
      </c>
      <c r="G1083" s="3">
        <v>2288</v>
      </c>
      <c r="H1083" s="4">
        <v>16225302</v>
      </c>
      <c r="I1083" s="3">
        <v>1.7839</v>
      </c>
      <c r="J1083" s="3">
        <v>111.30450319575991</v>
      </c>
      <c r="K1083" s="3">
        <v>76.316875934359743</v>
      </c>
    </row>
    <row r="1084" spans="1:11" x14ac:dyDescent="0.2">
      <c r="A1084" s="2" t="s">
        <v>109</v>
      </c>
      <c r="B1084" s="2" t="s">
        <v>110</v>
      </c>
      <c r="C1084" s="3">
        <v>2004</v>
      </c>
      <c r="D1084" s="3">
        <v>57391.364520246832</v>
      </c>
      <c r="E1084" s="3">
        <v>2.0704998970031698</v>
      </c>
      <c r="F1084" s="3">
        <v>5.0411901473998997</v>
      </c>
      <c r="G1084" s="3">
        <v>2187</v>
      </c>
      <c r="H1084" s="4">
        <v>16281779</v>
      </c>
      <c r="I1084" s="3">
        <v>1.78901</v>
      </c>
      <c r="J1084" s="3">
        <v>116.9581600269389</v>
      </c>
      <c r="K1084" s="3">
        <v>76.439278730746366</v>
      </c>
    </row>
    <row r="1085" spans="1:11" x14ac:dyDescent="0.2">
      <c r="A1085" s="2" t="s">
        <v>109</v>
      </c>
      <c r="B1085" s="2" t="s">
        <v>110</v>
      </c>
      <c r="C1085" s="3">
        <v>2005</v>
      </c>
      <c r="D1085" s="3">
        <v>58422.013519744418</v>
      </c>
      <c r="E1085" s="3">
        <v>1.9377363920211801</v>
      </c>
      <c r="F1085" s="3">
        <v>5.0887198448181197</v>
      </c>
      <c r="G1085" s="3">
        <v>2217</v>
      </c>
      <c r="H1085" s="4">
        <v>16319868</v>
      </c>
      <c r="I1085" s="3">
        <v>1.7738799999999999</v>
      </c>
      <c r="J1085" s="3">
        <v>122.2558495232517</v>
      </c>
      <c r="K1085" s="3">
        <v>76.67297155230392</v>
      </c>
    </row>
    <row r="1086" spans="1:11" x14ac:dyDescent="0.2">
      <c r="A1086" s="2" t="s">
        <v>109</v>
      </c>
      <c r="B1086" s="2" t="s">
        <v>110</v>
      </c>
      <c r="C1086" s="3">
        <v>2006</v>
      </c>
      <c r="D1086" s="3">
        <v>60391.544265121032</v>
      </c>
      <c r="E1086" s="3">
        <v>1.78492248058319</v>
      </c>
      <c r="F1086" s="3">
        <v>5.0191397666931197</v>
      </c>
      <c r="G1086" s="3">
        <v>2168</v>
      </c>
      <c r="H1086" s="4">
        <v>16346101</v>
      </c>
      <c r="I1086" s="3">
        <v>1.7406699999999999</v>
      </c>
      <c r="J1086" s="3">
        <v>127.1956135393331</v>
      </c>
      <c r="K1086" s="3">
        <v>76.410385850097626</v>
      </c>
    </row>
    <row r="1087" spans="1:11" x14ac:dyDescent="0.2">
      <c r="A1087" s="2" t="s">
        <v>109</v>
      </c>
      <c r="B1087" s="2" t="s">
        <v>110</v>
      </c>
      <c r="C1087" s="3">
        <v>2007</v>
      </c>
      <c r="D1087" s="3">
        <v>62601.620571818297</v>
      </c>
      <c r="E1087" s="3">
        <v>1.7217664718627901</v>
      </c>
      <c r="F1087" s="3">
        <v>4.8585400581359899</v>
      </c>
      <c r="G1087" s="3">
        <v>2079</v>
      </c>
      <c r="H1087" s="4">
        <v>16381696</v>
      </c>
      <c r="I1087" s="3">
        <v>1.6702999999999999</v>
      </c>
      <c r="J1087" s="3">
        <v>129.7982417405965</v>
      </c>
      <c r="K1087" s="3">
        <v>76.210510755421069</v>
      </c>
    </row>
    <row r="1088" spans="1:11" x14ac:dyDescent="0.2">
      <c r="A1088" s="2" t="s">
        <v>109</v>
      </c>
      <c r="B1088" s="2" t="s">
        <v>110</v>
      </c>
      <c r="C1088" s="3">
        <v>2008</v>
      </c>
      <c r="D1088" s="3">
        <v>63678.403283499589</v>
      </c>
      <c r="E1088" s="3">
        <v>1.68715620040894</v>
      </c>
      <c r="F1088" s="3">
        <v>4.9973797798156703</v>
      </c>
      <c r="G1088" s="3">
        <v>2421</v>
      </c>
      <c r="H1088" s="4">
        <v>16445593</v>
      </c>
      <c r="I1088" s="3">
        <v>1.62269</v>
      </c>
      <c r="J1088" s="3">
        <v>130.15204998011669</v>
      </c>
      <c r="K1088" s="3">
        <v>76.484882516992798</v>
      </c>
    </row>
    <row r="1089" spans="1:11" x14ac:dyDescent="0.2">
      <c r="A1089" s="2" t="s">
        <v>109</v>
      </c>
      <c r="B1089" s="2" t="s">
        <v>110</v>
      </c>
      <c r="C1089" s="3">
        <v>2009</v>
      </c>
      <c r="D1089" s="3">
        <v>61029.729885571433</v>
      </c>
      <c r="E1089" s="3">
        <v>1.73591732978821</v>
      </c>
      <c r="F1089" s="3">
        <v>5.3856101036071804</v>
      </c>
      <c r="G1089" s="3">
        <v>2575</v>
      </c>
      <c r="H1089" s="4">
        <v>16530388</v>
      </c>
      <c r="I1089" s="3">
        <v>1.6657</v>
      </c>
      <c r="J1089" s="3">
        <v>115.1096603631066</v>
      </c>
      <c r="K1089" s="3">
        <v>77.38083260905762</v>
      </c>
    </row>
    <row r="1090" spans="1:11" x14ac:dyDescent="0.2">
      <c r="A1090" s="2" t="s">
        <v>109</v>
      </c>
      <c r="B1090" s="2" t="s">
        <v>110</v>
      </c>
      <c r="C1090" s="3">
        <v>2010</v>
      </c>
      <c r="D1090" s="3">
        <v>61518.554008871659</v>
      </c>
      <c r="E1090" s="3">
        <v>1.7703269720077499</v>
      </c>
      <c r="F1090" s="3">
        <v>5.4563498497009304</v>
      </c>
      <c r="G1090" s="3">
        <v>2527</v>
      </c>
      <c r="H1090" s="4">
        <v>16615394</v>
      </c>
      <c r="I1090" s="3">
        <v>1.70404</v>
      </c>
      <c r="J1090" s="3">
        <v>130.08170793534279</v>
      </c>
      <c r="K1090" s="3">
        <v>77.413149059763754</v>
      </c>
    </row>
    <row r="1091" spans="1:11" x14ac:dyDescent="0.2">
      <c r="A1091" s="2" t="s">
        <v>109</v>
      </c>
      <c r="B1091" s="2" t="s">
        <v>110</v>
      </c>
      <c r="C1091" s="3">
        <v>2011</v>
      </c>
      <c r="D1091" s="3">
        <v>62318.141622623123</v>
      </c>
      <c r="E1091" s="3">
        <v>1.8209971189498899</v>
      </c>
      <c r="F1091" s="3">
        <v>5.4159598350524902</v>
      </c>
      <c r="G1091" s="3">
        <v>2585</v>
      </c>
      <c r="H1091" s="4">
        <v>16693074</v>
      </c>
      <c r="I1091" s="3">
        <v>1.88131</v>
      </c>
      <c r="J1091" s="3">
        <v>141.75709932577561</v>
      </c>
      <c r="K1091" s="3">
        <v>77.80190547344813</v>
      </c>
    </row>
    <row r="1092" spans="1:11" x14ac:dyDescent="0.2">
      <c r="A1092" s="2" t="s">
        <v>109</v>
      </c>
      <c r="B1092" s="2" t="s">
        <v>110</v>
      </c>
      <c r="C1092" s="3">
        <v>2012</v>
      </c>
      <c r="D1092" s="3">
        <v>61480.812601496138</v>
      </c>
      <c r="E1092" s="3">
        <v>1.8393690586090099</v>
      </c>
      <c r="F1092" s="3">
        <v>5.3669400215148899</v>
      </c>
      <c r="G1092" s="3">
        <v>2375</v>
      </c>
      <c r="H1092" s="4">
        <v>16754962</v>
      </c>
      <c r="I1092" s="3">
        <v>1.9162699999999999</v>
      </c>
      <c r="J1092" s="3">
        <v>149.3932230581315</v>
      </c>
      <c r="K1092" s="3">
        <v>78.244318909521866</v>
      </c>
    </row>
    <row r="1093" spans="1:11" x14ac:dyDescent="0.2">
      <c r="A1093" s="2" t="s">
        <v>109</v>
      </c>
      <c r="B1093" s="2" t="s">
        <v>110</v>
      </c>
      <c r="C1093" s="3">
        <v>2013</v>
      </c>
      <c r="D1093" s="3">
        <v>61281.288807751989</v>
      </c>
      <c r="E1093" s="3">
        <v>1.8087338209152199</v>
      </c>
      <c r="F1093" s="3">
        <v>5.4841799736022896</v>
      </c>
      <c r="G1093" s="3">
        <v>2315</v>
      </c>
      <c r="H1093" s="4">
        <v>16804432</v>
      </c>
      <c r="I1093" s="3">
        <v>2.1560600000000001</v>
      </c>
      <c r="J1093" s="3">
        <v>150.65185022694939</v>
      </c>
      <c r="K1093" s="3">
        <v>78.423916580641588</v>
      </c>
    </row>
    <row r="1094" spans="1:11" x14ac:dyDescent="0.2">
      <c r="A1094" s="2" t="s">
        <v>109</v>
      </c>
      <c r="B1094" s="2" t="s">
        <v>110</v>
      </c>
      <c r="C1094" s="3">
        <v>2014</v>
      </c>
      <c r="D1094" s="3">
        <v>62045.856380208519</v>
      </c>
      <c r="E1094" s="3">
        <v>1.8354694843292201</v>
      </c>
      <c r="F1094" s="3">
        <v>5.4020500183105504</v>
      </c>
      <c r="G1094" s="3">
        <v>2294</v>
      </c>
      <c r="H1094" s="4">
        <v>16865008</v>
      </c>
      <c r="I1094" s="3">
        <v>2.1732999999999998</v>
      </c>
      <c r="J1094" s="3">
        <v>151.71589105650091</v>
      </c>
      <c r="K1094" s="3">
        <v>78.885313564213561</v>
      </c>
    </row>
    <row r="1095" spans="1:11" x14ac:dyDescent="0.2">
      <c r="A1095" s="2" t="s">
        <v>109</v>
      </c>
      <c r="B1095" s="2" t="s">
        <v>110</v>
      </c>
      <c r="C1095" s="3">
        <v>2015</v>
      </c>
      <c r="D1095" s="3">
        <v>63081.39413506772</v>
      </c>
      <c r="E1095" s="3">
        <v>1.82862544059753</v>
      </c>
      <c r="F1095" s="3">
        <v>5.2780299186706499</v>
      </c>
      <c r="G1095" s="3">
        <v>2207</v>
      </c>
      <c r="H1095" s="4">
        <v>16939923</v>
      </c>
      <c r="I1095" s="3">
        <v>2.1460599999999999</v>
      </c>
      <c r="J1095" s="3">
        <v>160.3258125648085</v>
      </c>
      <c r="K1095" s="3">
        <v>79.351514439482088</v>
      </c>
    </row>
    <row r="1096" spans="1:11" x14ac:dyDescent="0.2">
      <c r="A1096" s="2" t="s">
        <v>109</v>
      </c>
      <c r="B1096" s="2" t="s">
        <v>110</v>
      </c>
      <c r="C1096" s="3">
        <v>2016</v>
      </c>
      <c r="D1096" s="3">
        <v>64267.736357935028</v>
      </c>
      <c r="E1096" s="3">
        <v>1.8202861547470099</v>
      </c>
      <c r="F1096" s="3">
        <v>5.3895201683044398</v>
      </c>
      <c r="G1096" s="3">
        <v>2290</v>
      </c>
      <c r="H1096" s="4">
        <v>17030314</v>
      </c>
      <c r="I1096" s="3">
        <v>2.1508099999999999</v>
      </c>
      <c r="J1096" s="3">
        <v>150.96552921164991</v>
      </c>
      <c r="K1096" s="3">
        <v>79.075126277970398</v>
      </c>
    </row>
    <row r="1097" spans="1:11" x14ac:dyDescent="0.2">
      <c r="A1097" s="2" t="s">
        <v>109</v>
      </c>
      <c r="B1097" s="2" t="s">
        <v>110</v>
      </c>
      <c r="C1097" s="3">
        <v>2017</v>
      </c>
      <c r="D1097" s="3">
        <v>65666.003659323746</v>
      </c>
      <c r="E1097" s="3">
        <v>1.8140219449996899</v>
      </c>
      <c r="F1097" s="3">
        <v>5.0874700546264604</v>
      </c>
      <c r="G1097" s="3">
        <v>2241</v>
      </c>
      <c r="H1097" s="4">
        <v>17131296</v>
      </c>
      <c r="I1097" s="3">
        <v>2.1785700000000001</v>
      </c>
      <c r="J1097" s="3">
        <v>159.64605965684731</v>
      </c>
      <c r="K1097" s="3">
        <v>79.083190084751834</v>
      </c>
    </row>
    <row r="1098" spans="1:11" x14ac:dyDescent="0.2">
      <c r="A1098" s="2" t="s">
        <v>109</v>
      </c>
      <c r="B1098" s="2" t="s">
        <v>110</v>
      </c>
      <c r="C1098" s="3">
        <v>2018</v>
      </c>
      <c r="D1098" s="3">
        <v>66758.264014575296</v>
      </c>
      <c r="E1098" s="3">
        <v>1.80973696708679</v>
      </c>
      <c r="F1098" s="3">
        <v>5.2672300338745099</v>
      </c>
      <c r="G1098" s="3">
        <v>2111</v>
      </c>
      <c r="H1098" s="4">
        <v>17231624</v>
      </c>
      <c r="I1098" s="3">
        <v>2.1387999999999998</v>
      </c>
      <c r="J1098" s="3">
        <v>163.5591465730439</v>
      </c>
      <c r="K1098" s="3">
        <v>79.051003406560753</v>
      </c>
    </row>
    <row r="1099" spans="1:11" x14ac:dyDescent="0.2">
      <c r="A1099" s="2" t="s">
        <v>109</v>
      </c>
      <c r="B1099" s="2" t="s">
        <v>110</v>
      </c>
      <c r="C1099" s="3">
        <v>2019</v>
      </c>
      <c r="D1099" s="3">
        <v>67847.854292679549</v>
      </c>
      <c r="E1099" s="3">
        <v>1.7671526670455899</v>
      </c>
      <c r="F1099" s="3">
        <v>5.0559401512145996</v>
      </c>
      <c r="G1099" s="3">
        <v>2228</v>
      </c>
      <c r="H1099" s="4">
        <v>17344874</v>
      </c>
      <c r="I1099" s="3">
        <v>2.1843499999999998</v>
      </c>
      <c r="J1099" s="3">
        <v>160.676671884999</v>
      </c>
      <c r="K1099" s="3">
        <v>78.899420342892427</v>
      </c>
    </row>
    <row r="1100" spans="1:11" x14ac:dyDescent="0.2">
      <c r="A1100" s="2" t="s">
        <v>109</v>
      </c>
      <c r="B1100" s="2" t="s">
        <v>110</v>
      </c>
      <c r="C1100" s="3">
        <v>2020</v>
      </c>
      <c r="D1100" s="3">
        <v>64862.192249636602</v>
      </c>
      <c r="E1100" s="3">
        <v>1.8052179813385001</v>
      </c>
      <c r="F1100" s="3">
        <v>5.2913999557495099</v>
      </c>
      <c r="G1100" s="3">
        <v>2198</v>
      </c>
      <c r="H1100" s="4">
        <v>17441500</v>
      </c>
      <c r="I1100" s="3">
        <v>2.3218200000000002</v>
      </c>
      <c r="J1100" s="3">
        <v>152.23323040970629</v>
      </c>
      <c r="K1100" s="3">
        <v>79.785841623572509</v>
      </c>
    </row>
    <row r="1101" spans="1:11" x14ac:dyDescent="0.2">
      <c r="A1101" s="2" t="s">
        <v>109</v>
      </c>
      <c r="B1101" s="2" t="s">
        <v>110</v>
      </c>
      <c r="C1101" s="3">
        <v>2021</v>
      </c>
      <c r="D1101" s="3">
        <v>68573.564878644625</v>
      </c>
      <c r="E1101" s="3">
        <v>1.72513651847839</v>
      </c>
      <c r="F1101" s="3">
        <v>5.3766198158264196</v>
      </c>
      <c r="G1101" s="3">
        <v>2080</v>
      </c>
      <c r="H1101" s="4">
        <v>17533044</v>
      </c>
      <c r="I1101" s="3">
        <v>2.26877</v>
      </c>
      <c r="J1101" s="3">
        <v>163.15484268969769</v>
      </c>
      <c r="K1101" s="3">
        <v>79.539145056903905</v>
      </c>
    </row>
    <row r="1102" spans="1:11" x14ac:dyDescent="0.2">
      <c r="A1102" s="2" t="s">
        <v>111</v>
      </c>
      <c r="B1102" s="2" t="s">
        <v>112</v>
      </c>
      <c r="C1102" s="3">
        <v>2000</v>
      </c>
      <c r="D1102" s="3">
        <v>77587.20731825578</v>
      </c>
      <c r="E1102" s="3">
        <v>1.81612300872803</v>
      </c>
      <c r="F1102" s="3">
        <v>6.4593400955200204</v>
      </c>
      <c r="G1102" s="3">
        <v>1311</v>
      </c>
      <c r="H1102" s="4">
        <v>4490967</v>
      </c>
      <c r="I1102" s="2"/>
      <c r="J1102" s="3">
        <v>74.31251871936982</v>
      </c>
      <c r="K1102" s="3">
        <v>79.472600092391261</v>
      </c>
    </row>
    <row r="1103" spans="1:11" x14ac:dyDescent="0.2">
      <c r="A1103" s="2" t="s">
        <v>111</v>
      </c>
      <c r="B1103" s="2" t="s">
        <v>112</v>
      </c>
      <c r="C1103" s="3">
        <v>2001</v>
      </c>
      <c r="D1103" s="3">
        <v>78791.304570712862</v>
      </c>
      <c r="E1103" s="2"/>
      <c r="F1103" s="3">
        <v>6.8201599121093803</v>
      </c>
      <c r="G1103" s="3">
        <v>1189</v>
      </c>
      <c r="H1103" s="4">
        <v>4513751</v>
      </c>
      <c r="I1103" s="3">
        <v>1.5602</v>
      </c>
      <c r="J1103" s="3">
        <v>73.158303908577722</v>
      </c>
      <c r="K1103" s="3">
        <v>79.634711160734696</v>
      </c>
    </row>
    <row r="1104" spans="1:11" x14ac:dyDescent="0.2">
      <c r="A1104" s="2" t="s">
        <v>111</v>
      </c>
      <c r="B1104" s="2" t="s">
        <v>112</v>
      </c>
      <c r="C1104" s="3">
        <v>2002</v>
      </c>
      <c r="D1104" s="3">
        <v>79447.091482442585</v>
      </c>
      <c r="E1104" s="3">
        <v>1.83372235298157</v>
      </c>
      <c r="F1104" s="3">
        <v>7.4224600791931197</v>
      </c>
      <c r="G1104" s="3">
        <v>1178</v>
      </c>
      <c r="H1104" s="4">
        <v>4538159</v>
      </c>
      <c r="I1104" s="3">
        <v>1.62645</v>
      </c>
      <c r="J1104" s="3">
        <v>67.517014087568612</v>
      </c>
      <c r="K1104" s="3">
        <v>79.811943024132731</v>
      </c>
    </row>
    <row r="1105" spans="1:11" x14ac:dyDescent="0.2">
      <c r="A1105" s="2" t="s">
        <v>111</v>
      </c>
      <c r="B1105" s="2" t="s">
        <v>112</v>
      </c>
      <c r="C1105" s="3">
        <v>2003</v>
      </c>
      <c r="D1105" s="3">
        <v>79728.784997330906</v>
      </c>
      <c r="E1105" s="3">
        <v>1.8341208696365401</v>
      </c>
      <c r="F1105" s="3">
        <v>7.3993301391601598</v>
      </c>
      <c r="G1105" s="3">
        <v>1079</v>
      </c>
      <c r="H1105" s="4">
        <v>4564855</v>
      </c>
      <c r="I1105" s="3">
        <v>1.6757200000000001</v>
      </c>
      <c r="J1105" s="3">
        <v>66.320750941293454</v>
      </c>
      <c r="K1105" s="3">
        <v>79.971456261222443</v>
      </c>
    </row>
    <row r="1106" spans="1:11" x14ac:dyDescent="0.2">
      <c r="A1106" s="2" t="s">
        <v>111</v>
      </c>
      <c r="B1106" s="2" t="s">
        <v>112</v>
      </c>
      <c r="C1106" s="3">
        <v>2004</v>
      </c>
      <c r="D1106" s="3">
        <v>82440.955880111273</v>
      </c>
      <c r="E1106" s="3">
        <v>2.05889225006104</v>
      </c>
      <c r="F1106" s="3">
        <v>7.2774400711059597</v>
      </c>
      <c r="G1106" s="3">
        <v>1142</v>
      </c>
      <c r="H1106" s="4">
        <v>4591910</v>
      </c>
      <c r="I1106" s="3">
        <v>1.53975</v>
      </c>
      <c r="J1106" s="3">
        <v>68.671953774991991</v>
      </c>
      <c r="K1106" s="3">
        <v>79.677206105006107</v>
      </c>
    </row>
    <row r="1107" spans="1:11" x14ac:dyDescent="0.2">
      <c r="A1107" s="2" t="s">
        <v>111</v>
      </c>
      <c r="B1107" s="2" t="s">
        <v>112</v>
      </c>
      <c r="C1107" s="3">
        <v>2005</v>
      </c>
      <c r="D1107" s="3">
        <v>84079.99624188905</v>
      </c>
      <c r="E1107" s="3">
        <v>1.8591334819793699</v>
      </c>
      <c r="F1107" s="3">
        <v>6.8408298492431596</v>
      </c>
      <c r="G1107" s="3">
        <v>1143</v>
      </c>
      <c r="H1107" s="4">
        <v>4623291</v>
      </c>
      <c r="I1107" s="3">
        <v>1.47715</v>
      </c>
      <c r="J1107" s="3">
        <v>70.469450490902275</v>
      </c>
      <c r="K1107" s="3">
        <v>79.862487197769553</v>
      </c>
    </row>
    <row r="1108" spans="1:11" x14ac:dyDescent="0.2">
      <c r="A1108" s="2" t="s">
        <v>111</v>
      </c>
      <c r="B1108" s="2" t="s">
        <v>112</v>
      </c>
      <c r="C1108" s="3">
        <v>2006</v>
      </c>
      <c r="D1108" s="3">
        <v>85458.546693402299</v>
      </c>
      <c r="E1108" s="3">
        <v>1.87561547756195</v>
      </c>
      <c r="F1108" s="3">
        <v>6.3582201004028303</v>
      </c>
      <c r="G1108" s="3">
        <v>1119</v>
      </c>
      <c r="H1108" s="4">
        <v>4660677</v>
      </c>
      <c r="I1108" s="3">
        <v>1.4497199999999999</v>
      </c>
      <c r="J1108" s="3">
        <v>71.65992994650027</v>
      </c>
      <c r="K1108" s="3">
        <v>79.816903331962166</v>
      </c>
    </row>
    <row r="1109" spans="1:11" x14ac:dyDescent="0.2">
      <c r="A1109" s="2" t="s">
        <v>111</v>
      </c>
      <c r="B1109" s="2" t="s">
        <v>112</v>
      </c>
      <c r="C1109" s="3">
        <v>2007</v>
      </c>
      <c r="D1109" s="3">
        <v>87043.497935759267</v>
      </c>
      <c r="E1109" s="3">
        <v>2.0180430412292498</v>
      </c>
      <c r="F1109" s="3">
        <v>6.5067100524902299</v>
      </c>
      <c r="G1109" s="3">
        <v>1225</v>
      </c>
      <c r="H1109" s="4">
        <v>4709153</v>
      </c>
      <c r="I1109" s="3">
        <v>1.5579400000000001</v>
      </c>
      <c r="J1109" s="3">
        <v>71.942026308229813</v>
      </c>
      <c r="K1109" s="3">
        <v>79.63097193558076</v>
      </c>
    </row>
    <row r="1110" spans="1:11" x14ac:dyDescent="0.2">
      <c r="A1110" s="2" t="s">
        <v>111</v>
      </c>
      <c r="B1110" s="2" t="s">
        <v>112</v>
      </c>
      <c r="C1110" s="3">
        <v>2008</v>
      </c>
      <c r="D1110" s="3">
        <v>86379.662483229113</v>
      </c>
      <c r="E1110" s="3">
        <v>1.83281362056732</v>
      </c>
      <c r="F1110" s="3">
        <v>6.2491598129272496</v>
      </c>
      <c r="G1110" s="3">
        <v>1150</v>
      </c>
      <c r="H1110" s="4">
        <v>4768212</v>
      </c>
      <c r="I1110" s="3">
        <v>1.54556</v>
      </c>
      <c r="J1110" s="3">
        <v>74.785279934099506</v>
      </c>
      <c r="K1110" s="3">
        <v>80.325506993007011</v>
      </c>
    </row>
    <row r="1111" spans="1:11" x14ac:dyDescent="0.2">
      <c r="A1111" s="2" t="s">
        <v>111</v>
      </c>
      <c r="B1111" s="2" t="s">
        <v>112</v>
      </c>
      <c r="C1111" s="3">
        <v>2009</v>
      </c>
      <c r="D1111" s="3">
        <v>83642.06957477727</v>
      </c>
      <c r="E1111" s="3">
        <v>1.8376095294952399</v>
      </c>
      <c r="F1111" s="3">
        <v>7.0706701278686497</v>
      </c>
      <c r="G1111" s="3">
        <v>1246</v>
      </c>
      <c r="H1111" s="4">
        <v>4828726</v>
      </c>
      <c r="I1111" s="3">
        <v>1.71678</v>
      </c>
      <c r="J1111" s="3">
        <v>67.46431546018546</v>
      </c>
      <c r="K1111" s="3">
        <v>81.018492121603899</v>
      </c>
    </row>
    <row r="1112" spans="1:11" x14ac:dyDescent="0.2">
      <c r="A1112" s="2" t="s">
        <v>111</v>
      </c>
      <c r="B1112" s="2" t="s">
        <v>112</v>
      </c>
      <c r="C1112" s="3">
        <v>2010</v>
      </c>
      <c r="D1112" s="3">
        <v>83256.788072255731</v>
      </c>
      <c r="E1112" s="3">
        <v>1.8735424280166599</v>
      </c>
      <c r="F1112" s="3">
        <v>6.7104201316833496</v>
      </c>
      <c r="G1112" s="3">
        <v>1117</v>
      </c>
      <c r="H1112" s="4">
        <v>4889252</v>
      </c>
      <c r="I1112" s="3">
        <v>1.6412</v>
      </c>
      <c r="J1112" s="3">
        <v>68.239519358428097</v>
      </c>
      <c r="K1112" s="3">
        <v>80.65853691357664</v>
      </c>
    </row>
    <row r="1113" spans="1:11" x14ac:dyDescent="0.2">
      <c r="A1113" s="2" t="s">
        <v>111</v>
      </c>
      <c r="B1113" s="2" t="s">
        <v>112</v>
      </c>
      <c r="C1113" s="3">
        <v>2011</v>
      </c>
      <c r="D1113" s="3">
        <v>83092.434221644144</v>
      </c>
      <c r="E1113" s="3">
        <v>1.8317123651504501</v>
      </c>
      <c r="F1113" s="3">
        <v>6.4149098396301296</v>
      </c>
      <c r="G1113" s="3">
        <v>1122</v>
      </c>
      <c r="H1113" s="4">
        <v>4953088</v>
      </c>
      <c r="I1113" s="3">
        <v>1.61714</v>
      </c>
      <c r="J1113" s="3">
        <v>69.598733633483263</v>
      </c>
      <c r="K1113" s="3">
        <v>80.714367780585434</v>
      </c>
    </row>
    <row r="1114" spans="1:11" x14ac:dyDescent="0.2">
      <c r="A1114" s="2" t="s">
        <v>111</v>
      </c>
      <c r="B1114" s="2" t="s">
        <v>112</v>
      </c>
      <c r="C1114" s="3">
        <v>2012</v>
      </c>
      <c r="D1114" s="3">
        <v>84237.149566381617</v>
      </c>
      <c r="E1114" s="3">
        <v>1.8999354839325</v>
      </c>
      <c r="F1114" s="3">
        <v>7.3276600837707502</v>
      </c>
      <c r="G1114" s="3">
        <v>1009</v>
      </c>
      <c r="H1114" s="4">
        <v>5018573</v>
      </c>
      <c r="I1114" s="3">
        <v>1.61053</v>
      </c>
      <c r="J1114" s="3">
        <v>68.498552838976607</v>
      </c>
      <c r="K1114" s="3">
        <v>81.041470178677528</v>
      </c>
    </row>
    <row r="1115" spans="1:11" x14ac:dyDescent="0.2">
      <c r="A1115" s="2" t="s">
        <v>111</v>
      </c>
      <c r="B1115" s="2" t="s">
        <v>112</v>
      </c>
      <c r="C1115" s="3">
        <v>2013</v>
      </c>
      <c r="D1115" s="3">
        <v>84070.458394047804</v>
      </c>
      <c r="E1115" s="3">
        <v>1.8767670392990099</v>
      </c>
      <c r="F1115" s="3">
        <v>7.4390602111816397</v>
      </c>
      <c r="G1115" s="3">
        <v>1101</v>
      </c>
      <c r="H1115" s="4">
        <v>5079623</v>
      </c>
      <c r="I1115" s="3">
        <v>1.6421600000000001</v>
      </c>
      <c r="J1115" s="3">
        <v>67.972792593683209</v>
      </c>
      <c r="K1115" s="3">
        <v>80.935682695082704</v>
      </c>
    </row>
    <row r="1116" spans="1:11" x14ac:dyDescent="0.2">
      <c r="A1116" s="2" t="s">
        <v>111</v>
      </c>
      <c r="B1116" s="2" t="s">
        <v>112</v>
      </c>
      <c r="C1116" s="3">
        <v>2014</v>
      </c>
      <c r="D1116" s="3">
        <v>84830.255801696127</v>
      </c>
      <c r="E1116" s="3">
        <v>1.8217037916183501</v>
      </c>
      <c r="F1116" s="3">
        <v>7.6440300941467303</v>
      </c>
      <c r="G1116" s="3">
        <v>1106</v>
      </c>
      <c r="H1116" s="4">
        <v>5137232</v>
      </c>
      <c r="I1116" s="3">
        <v>1.7036899999999999</v>
      </c>
      <c r="J1116" s="3">
        <v>69.137377220903701</v>
      </c>
      <c r="K1116" s="3">
        <v>81.499952389440637</v>
      </c>
    </row>
    <row r="1117" spans="1:11" x14ac:dyDescent="0.2">
      <c r="A1117" s="2" t="s">
        <v>111</v>
      </c>
      <c r="B1117" s="2" t="s">
        <v>112</v>
      </c>
      <c r="C1117" s="3">
        <v>2015</v>
      </c>
      <c r="D1117" s="3">
        <v>85550.294261449453</v>
      </c>
      <c r="E1117" s="3">
        <v>1.8330682516098</v>
      </c>
      <c r="F1117" s="3">
        <v>7.5233497619628897</v>
      </c>
      <c r="G1117" s="3">
        <v>1153</v>
      </c>
      <c r="H1117" s="4">
        <v>5188607</v>
      </c>
      <c r="I1117" s="3">
        <v>1.9235</v>
      </c>
      <c r="J1117" s="3">
        <v>70.431856540016994</v>
      </c>
      <c r="K1117" s="3">
        <v>81.923064000215476</v>
      </c>
    </row>
    <row r="1118" spans="1:11" x14ac:dyDescent="0.2">
      <c r="A1118" s="2" t="s">
        <v>111</v>
      </c>
      <c r="B1118" s="2" t="s">
        <v>112</v>
      </c>
      <c r="C1118" s="3">
        <v>2016</v>
      </c>
      <c r="D1118" s="3">
        <v>85787.617441042414</v>
      </c>
      <c r="E1118" s="3">
        <v>1.8323664665222199</v>
      </c>
      <c r="F1118" s="3">
        <v>7.9844498634338397</v>
      </c>
      <c r="G1118" s="3">
        <v>1227</v>
      </c>
      <c r="H1118" s="4">
        <v>5234519</v>
      </c>
      <c r="I1118" s="3">
        <v>2.03287</v>
      </c>
      <c r="J1118" s="3">
        <v>69.116842397469853</v>
      </c>
      <c r="K1118" s="3">
        <v>81.911429700528217</v>
      </c>
    </row>
    <row r="1119" spans="1:11" x14ac:dyDescent="0.2">
      <c r="A1119" s="2" t="s">
        <v>111</v>
      </c>
      <c r="B1119" s="2" t="s">
        <v>112</v>
      </c>
      <c r="C1119" s="3">
        <v>2017</v>
      </c>
      <c r="D1119" s="3">
        <v>87194.111542137369</v>
      </c>
      <c r="E1119" s="3">
        <v>1.94444799423218</v>
      </c>
      <c r="F1119" s="3">
        <v>7.8459801673889196</v>
      </c>
      <c r="G1119" s="3">
        <v>1152</v>
      </c>
      <c r="H1119" s="4">
        <v>5276968</v>
      </c>
      <c r="I1119" s="3">
        <v>2.0816699999999999</v>
      </c>
      <c r="J1119" s="3">
        <v>69.108781762106076</v>
      </c>
      <c r="K1119" s="3">
        <v>82.228256299746008</v>
      </c>
    </row>
    <row r="1120" spans="1:11" x14ac:dyDescent="0.2">
      <c r="A1120" s="2" t="s">
        <v>111</v>
      </c>
      <c r="B1120" s="2" t="s">
        <v>112</v>
      </c>
      <c r="C1120" s="3">
        <v>2018</v>
      </c>
      <c r="D1120" s="3">
        <v>87338.470800898533</v>
      </c>
      <c r="E1120" s="3">
        <v>1.8451455831527701</v>
      </c>
      <c r="F1120" s="3">
        <v>7.5956301689147896</v>
      </c>
      <c r="G1120" s="3">
        <v>1082</v>
      </c>
      <c r="H1120" s="4">
        <v>5311916</v>
      </c>
      <c r="I1120" s="3">
        <v>2.0348199999999999</v>
      </c>
      <c r="J1120" s="3">
        <v>70.003195789498406</v>
      </c>
      <c r="K1120" s="3">
        <v>81.973836524096825</v>
      </c>
    </row>
    <row r="1121" spans="1:11" x14ac:dyDescent="0.2">
      <c r="A1121" s="2" t="s">
        <v>111</v>
      </c>
      <c r="B1121" s="2" t="s">
        <v>112</v>
      </c>
      <c r="C1121" s="3">
        <v>2019</v>
      </c>
      <c r="D1121" s="3">
        <v>87725.728325461343</v>
      </c>
      <c r="E1121" s="3">
        <v>1.82773196697235</v>
      </c>
      <c r="F1121" s="3">
        <v>7.8645601272582999</v>
      </c>
      <c r="G1121" s="3">
        <v>957</v>
      </c>
      <c r="H1121" s="4">
        <v>5347896</v>
      </c>
      <c r="I1121" s="3">
        <v>2.1360000000000001</v>
      </c>
      <c r="J1121" s="3">
        <v>70.895820527298653</v>
      </c>
      <c r="K1121" s="3">
        <v>82.335603930056891</v>
      </c>
    </row>
    <row r="1122" spans="1:11" x14ac:dyDescent="0.2">
      <c r="A1122" s="2" t="s">
        <v>111</v>
      </c>
      <c r="B1122" s="2" t="s">
        <v>112</v>
      </c>
      <c r="C1122" s="3">
        <v>2020</v>
      </c>
      <c r="D1122" s="3">
        <v>86096.050894750588</v>
      </c>
      <c r="E1122" s="3">
        <v>1.88777232170105</v>
      </c>
      <c r="F1122" s="3">
        <v>8.3728199005127006</v>
      </c>
      <c r="G1122" s="3">
        <v>880</v>
      </c>
      <c r="H1122" s="4">
        <v>5379475</v>
      </c>
      <c r="I1122" s="3">
        <v>2.2443599999999999</v>
      </c>
      <c r="J1122" s="3">
        <v>65.353979041332337</v>
      </c>
      <c r="K1122" s="3">
        <v>82.755278560165308</v>
      </c>
    </row>
    <row r="1123" spans="1:11" x14ac:dyDescent="0.2">
      <c r="A1123" s="2" t="s">
        <v>111</v>
      </c>
      <c r="B1123" s="2" t="s">
        <v>112</v>
      </c>
      <c r="C1123" s="3">
        <v>2021</v>
      </c>
      <c r="D1123" s="3">
        <v>88984.138673651498</v>
      </c>
      <c r="E1123" s="3">
        <v>1.79539930820465</v>
      </c>
      <c r="F1123" s="3">
        <v>6.9602198600768999</v>
      </c>
      <c r="G1123" s="3">
        <v>946</v>
      </c>
      <c r="H1123" s="4">
        <v>5408320</v>
      </c>
      <c r="I1123" s="3">
        <v>1.88764</v>
      </c>
      <c r="J1123" s="3">
        <v>71.222713775959889</v>
      </c>
      <c r="K1123" s="3">
        <v>82.33344372686139</v>
      </c>
    </row>
    <row r="1124" spans="1:11" x14ac:dyDescent="0.2">
      <c r="A1124" s="2" t="s">
        <v>113</v>
      </c>
      <c r="B1124" s="2" t="s">
        <v>114</v>
      </c>
      <c r="C1124" s="3">
        <v>2000</v>
      </c>
      <c r="D1124" s="3">
        <v>3531.7129153161241</v>
      </c>
      <c r="E1124" s="3">
        <v>-0.49234190583229098</v>
      </c>
      <c r="F1124" s="3">
        <v>1.8378200531005899</v>
      </c>
      <c r="G1124" s="3">
        <v>46</v>
      </c>
      <c r="H1124" s="4">
        <v>154879127</v>
      </c>
      <c r="I1124" s="3">
        <v>9.536E-2</v>
      </c>
      <c r="J1124" s="3">
        <v>21.45996388846536</v>
      </c>
      <c r="K1124" s="3">
        <v>49.766865542137602</v>
      </c>
    </row>
    <row r="1125" spans="1:11" x14ac:dyDescent="0.2">
      <c r="A1125" s="2" t="s">
        <v>113</v>
      </c>
      <c r="B1125" s="2" t="s">
        <v>114</v>
      </c>
      <c r="C1125" s="3">
        <v>2001</v>
      </c>
      <c r="D1125" s="3">
        <v>3559.7278465871468</v>
      </c>
      <c r="E1125" s="2"/>
      <c r="F1125" s="2"/>
      <c r="G1125" s="3">
        <v>58</v>
      </c>
      <c r="H1125" s="4">
        <v>159270907</v>
      </c>
      <c r="I1125" s="3">
        <v>0.12408</v>
      </c>
      <c r="J1125" s="3">
        <v>23.57720742984672</v>
      </c>
      <c r="K1125" s="3">
        <v>49.753372439651862</v>
      </c>
    </row>
    <row r="1126" spans="1:11" x14ac:dyDescent="0.2">
      <c r="A1126" s="2" t="s">
        <v>113</v>
      </c>
      <c r="B1126" s="2" t="s">
        <v>114</v>
      </c>
      <c r="C1126" s="3">
        <v>2002</v>
      </c>
      <c r="D1126" s="3">
        <v>3563.678469265576</v>
      </c>
      <c r="E1126" s="3">
        <v>-0.54948133230209395</v>
      </c>
      <c r="F1126" s="2"/>
      <c r="G1126" s="3">
        <v>55</v>
      </c>
      <c r="H1126" s="4">
        <v>163222549</v>
      </c>
      <c r="I1126" s="3">
        <v>0.16228000000000001</v>
      </c>
      <c r="J1126" s="3">
        <v>23.129015954529109</v>
      </c>
      <c r="K1126" s="3">
        <v>50.007890702598047</v>
      </c>
    </row>
    <row r="1127" spans="1:11" x14ac:dyDescent="0.2">
      <c r="A1127" s="2" t="s">
        <v>113</v>
      </c>
      <c r="B1127" s="2" t="s">
        <v>114</v>
      </c>
      <c r="C1127" s="3">
        <v>2003</v>
      </c>
      <c r="D1127" s="3">
        <v>3668.779388525078</v>
      </c>
      <c r="E1127" s="3">
        <v>-0.58645981550216697</v>
      </c>
      <c r="F1127" s="2"/>
      <c r="G1127" s="3">
        <v>57</v>
      </c>
      <c r="H1127" s="4">
        <v>167110248</v>
      </c>
      <c r="I1127" s="2"/>
      <c r="J1127" s="3">
        <v>24.650158524839831</v>
      </c>
      <c r="K1127" s="3">
        <v>50.569293446749327</v>
      </c>
    </row>
    <row r="1128" spans="1:11" x14ac:dyDescent="0.2">
      <c r="A1128" s="2" t="s">
        <v>113</v>
      </c>
      <c r="B1128" s="2" t="s">
        <v>114</v>
      </c>
      <c r="C1128" s="3">
        <v>2004</v>
      </c>
      <c r="D1128" s="3">
        <v>3859.6460180890258</v>
      </c>
      <c r="E1128" s="3">
        <v>-0.54326105117797896</v>
      </c>
      <c r="F1128" s="3">
        <v>1.4433799982070901</v>
      </c>
      <c r="G1128" s="3">
        <v>73</v>
      </c>
      <c r="H1128" s="4">
        <v>171286000</v>
      </c>
      <c r="I1128" s="2"/>
      <c r="J1128" s="3">
        <v>24.808334851906409</v>
      </c>
      <c r="K1128" s="3">
        <v>50.663539841857492</v>
      </c>
    </row>
    <row r="1129" spans="1:11" x14ac:dyDescent="0.2">
      <c r="A1129" s="2" t="s">
        <v>113</v>
      </c>
      <c r="B1129" s="2" t="s">
        <v>114</v>
      </c>
      <c r="C1129" s="3">
        <v>2005</v>
      </c>
      <c r="D1129" s="3">
        <v>4042.1545751337808</v>
      </c>
      <c r="E1129" s="3">
        <v>-0.457726120948792</v>
      </c>
      <c r="F1129" s="3">
        <v>1.6705800294876101</v>
      </c>
      <c r="G1129" s="3">
        <v>143</v>
      </c>
      <c r="H1129" s="4">
        <v>175453212</v>
      </c>
      <c r="I1129" s="3">
        <v>0.32945999999999998</v>
      </c>
      <c r="J1129" s="3">
        <v>29.878494055074739</v>
      </c>
      <c r="K1129" s="3">
        <v>50.879809951323189</v>
      </c>
    </row>
    <row r="1130" spans="1:11" x14ac:dyDescent="0.2">
      <c r="A1130" s="2" t="s">
        <v>113</v>
      </c>
      <c r="B1130" s="2" t="s">
        <v>114</v>
      </c>
      <c r="C1130" s="3">
        <v>2006</v>
      </c>
      <c r="D1130" s="3">
        <v>4185.8665565920573</v>
      </c>
      <c r="E1130" s="3">
        <v>-0.383815377950668</v>
      </c>
      <c r="F1130" s="3">
        <v>1.9805599451065099</v>
      </c>
      <c r="G1130" s="3">
        <v>91</v>
      </c>
      <c r="H1130" s="4">
        <v>179682690</v>
      </c>
      <c r="I1130" s="2"/>
      <c r="J1130" s="3">
        <v>33.049719367228448</v>
      </c>
      <c r="K1130" s="3">
        <v>51.098705840891142</v>
      </c>
    </row>
    <row r="1131" spans="1:11" x14ac:dyDescent="0.2">
      <c r="A1131" s="2" t="s">
        <v>113</v>
      </c>
      <c r="B1131" s="2" t="s">
        <v>114</v>
      </c>
      <c r="C1131" s="3">
        <v>2007</v>
      </c>
      <c r="D1131" s="3">
        <v>4257.9255687043233</v>
      </c>
      <c r="E1131" s="3">
        <v>-0.48942685127258301</v>
      </c>
      <c r="F1131" s="3">
        <v>2.2346599102020299</v>
      </c>
      <c r="G1131" s="3">
        <v>109</v>
      </c>
      <c r="H1131" s="4">
        <v>184493231</v>
      </c>
      <c r="I1131" s="3">
        <v>0.52342999999999995</v>
      </c>
      <c r="J1131" s="3">
        <v>30.78788143127457</v>
      </c>
      <c r="K1131" s="3">
        <v>51.653774194106553</v>
      </c>
    </row>
    <row r="1132" spans="1:11" x14ac:dyDescent="0.2">
      <c r="A1132" s="2" t="s">
        <v>113</v>
      </c>
      <c r="B1132" s="2" t="s">
        <v>114</v>
      </c>
      <c r="C1132" s="3">
        <v>2008</v>
      </c>
      <c r="D1132" s="3">
        <v>4233.3483071549726</v>
      </c>
      <c r="E1132" s="3">
        <v>-0.73821085691452004</v>
      </c>
      <c r="F1132" s="3">
        <v>2.2726399898528999</v>
      </c>
      <c r="G1132" s="3">
        <v>170</v>
      </c>
      <c r="H1132" s="4">
        <v>189499113</v>
      </c>
      <c r="I1132" s="2"/>
      <c r="J1132" s="3">
        <v>34.348960813524151</v>
      </c>
      <c r="K1132" s="3">
        <v>52.093347119057412</v>
      </c>
    </row>
    <row r="1133" spans="1:11" x14ac:dyDescent="0.2">
      <c r="A1133" s="2" t="s">
        <v>113</v>
      </c>
      <c r="B1133" s="2" t="s">
        <v>114</v>
      </c>
      <c r="C1133" s="3">
        <v>2009</v>
      </c>
      <c r="D1133" s="3">
        <v>4270.4388226422943</v>
      </c>
      <c r="E1133" s="3">
        <v>-0.81230038404464699</v>
      </c>
      <c r="F1133" s="3">
        <v>2.17916011810303</v>
      </c>
      <c r="G1133" s="2"/>
      <c r="H1133" s="4">
        <v>194376534</v>
      </c>
      <c r="I1133" s="3">
        <v>0.40217999999999998</v>
      </c>
      <c r="J1133" s="3">
        <v>33.326887286398829</v>
      </c>
      <c r="K1133" s="3">
        <v>52.353019324792847</v>
      </c>
    </row>
    <row r="1134" spans="1:11" x14ac:dyDescent="0.2">
      <c r="A1134" s="2" t="s">
        <v>113</v>
      </c>
      <c r="B1134" s="2" t="s">
        <v>114</v>
      </c>
      <c r="C1134" s="3">
        <v>2010</v>
      </c>
      <c r="D1134" s="3">
        <v>4228.7817715945002</v>
      </c>
      <c r="E1134" s="3">
        <v>-0.77566266059875499</v>
      </c>
      <c r="F1134" s="3">
        <v>2.05268001556396</v>
      </c>
      <c r="G1134" s="3">
        <v>114</v>
      </c>
      <c r="H1134" s="4">
        <v>199239047</v>
      </c>
      <c r="I1134" s="2"/>
      <c r="J1134" s="3">
        <v>31.989002046231551</v>
      </c>
      <c r="K1134" s="3">
        <v>52.626782169301293</v>
      </c>
    </row>
    <row r="1135" spans="1:11" x14ac:dyDescent="0.2">
      <c r="A1135" s="2" t="s">
        <v>113</v>
      </c>
      <c r="B1135" s="2" t="s">
        <v>114</v>
      </c>
      <c r="C1135" s="3">
        <v>2011</v>
      </c>
      <c r="D1135" s="3">
        <v>4246.0671088249674</v>
      </c>
      <c r="E1135" s="3">
        <v>-0.83372324705123901</v>
      </c>
      <c r="F1135" s="3">
        <v>2.0010099411010702</v>
      </c>
      <c r="G1135" s="3">
        <v>92</v>
      </c>
      <c r="H1135" s="4">
        <v>203746065</v>
      </c>
      <c r="I1135" s="3">
        <v>0.30491000000000001</v>
      </c>
      <c r="J1135" s="3">
        <v>32.362638275143802</v>
      </c>
      <c r="K1135" s="3">
        <v>52.740845819050243</v>
      </c>
    </row>
    <row r="1136" spans="1:11" x14ac:dyDescent="0.2">
      <c r="A1136" s="2" t="s">
        <v>113</v>
      </c>
      <c r="B1136" s="2" t="s">
        <v>114</v>
      </c>
      <c r="C1136" s="3">
        <v>2012</v>
      </c>
      <c r="D1136" s="3">
        <v>4292.0211029348584</v>
      </c>
      <c r="E1136" s="3">
        <v>-0.78372949361801103</v>
      </c>
      <c r="F1136" s="3">
        <v>1.9787900447845499</v>
      </c>
      <c r="G1136" s="3">
        <v>96</v>
      </c>
      <c r="H1136" s="4">
        <v>207667125</v>
      </c>
      <c r="I1136" s="2"/>
      <c r="J1136" s="3">
        <v>31.318973276007579</v>
      </c>
      <c r="K1136" s="3">
        <v>53.398794597069589</v>
      </c>
    </row>
    <row r="1137" spans="1:11" x14ac:dyDescent="0.2">
      <c r="A1137" s="2" t="s">
        <v>113</v>
      </c>
      <c r="B1137" s="2" t="s">
        <v>114</v>
      </c>
      <c r="C1137" s="3">
        <v>2013</v>
      </c>
      <c r="D1137" s="3">
        <v>4407.1470584137651</v>
      </c>
      <c r="E1137" s="3">
        <v>-0.798744976520538</v>
      </c>
      <c r="F1137" s="3">
        <v>2.2369899749755899</v>
      </c>
      <c r="G1137" s="3">
        <v>151</v>
      </c>
      <c r="H1137" s="4">
        <v>211073978</v>
      </c>
      <c r="I1137" s="3">
        <v>0.26179000000000002</v>
      </c>
      <c r="J1137" s="3">
        <v>30.89027434018438</v>
      </c>
      <c r="K1137" s="3">
        <v>53.709365542137597</v>
      </c>
    </row>
    <row r="1138" spans="1:11" x14ac:dyDescent="0.2">
      <c r="A1138" s="2" t="s">
        <v>113</v>
      </c>
      <c r="B1138" s="2" t="s">
        <v>114</v>
      </c>
      <c r="C1138" s="3">
        <v>2014</v>
      </c>
      <c r="D1138" s="3">
        <v>4520.234633992859</v>
      </c>
      <c r="E1138" s="3">
        <v>-0.76260077953338601</v>
      </c>
      <c r="F1138" s="3">
        <v>2.2043399810790998</v>
      </c>
      <c r="G1138" s="3">
        <v>146</v>
      </c>
      <c r="H1138" s="4">
        <v>214264647</v>
      </c>
      <c r="I1138" s="2"/>
      <c r="J1138" s="3">
        <v>29.469825690399791</v>
      </c>
      <c r="K1138" s="3">
        <v>54.198851683773754</v>
      </c>
    </row>
    <row r="1139" spans="1:11" x14ac:dyDescent="0.2">
      <c r="A1139" s="2" t="s">
        <v>113</v>
      </c>
      <c r="B1139" s="2" t="s">
        <v>114</v>
      </c>
      <c r="C1139" s="3">
        <v>2015</v>
      </c>
      <c r="D1139" s="3">
        <v>4645.2863107114463</v>
      </c>
      <c r="E1139" s="3">
        <v>-0.70955294370651201</v>
      </c>
      <c r="F1139" s="3">
        <v>2.3860900402069101</v>
      </c>
      <c r="G1139" s="3">
        <v>209</v>
      </c>
      <c r="H1139" s="4">
        <v>217290883</v>
      </c>
      <c r="I1139" s="3">
        <v>0.22192999999999999</v>
      </c>
      <c r="J1139" s="3">
        <v>26.68818601722468</v>
      </c>
      <c r="K1139" s="3">
        <v>54.084918358275708</v>
      </c>
    </row>
    <row r="1140" spans="1:11" x14ac:dyDescent="0.2">
      <c r="A1140" s="2" t="s">
        <v>113</v>
      </c>
      <c r="B1140" s="2" t="s">
        <v>114</v>
      </c>
      <c r="C1140" s="3">
        <v>2016</v>
      </c>
      <c r="D1140" s="3">
        <v>4886.6121211537811</v>
      </c>
      <c r="E1140" s="3">
        <v>-0.70005762577056896</v>
      </c>
      <c r="F1140" s="3">
        <v>2.66804003715515</v>
      </c>
      <c r="G1140" s="3">
        <v>204</v>
      </c>
      <c r="H1140" s="4">
        <v>220138869</v>
      </c>
      <c r="I1140" s="2"/>
      <c r="J1140" s="3">
        <v>24.701578048057311</v>
      </c>
      <c r="K1140" s="3">
        <v>54.41351422678629</v>
      </c>
    </row>
    <row r="1141" spans="1:11" x14ac:dyDescent="0.2">
      <c r="A1141" s="2" t="s">
        <v>113</v>
      </c>
      <c r="B1141" s="2" t="s">
        <v>114</v>
      </c>
      <c r="C1141" s="3">
        <v>2017</v>
      </c>
      <c r="D1141" s="3">
        <v>5031.5606073843346</v>
      </c>
      <c r="E1141" s="3">
        <v>-0.63469564914703402</v>
      </c>
      <c r="F1141" s="3">
        <v>2.5761699676513699</v>
      </c>
      <c r="G1141" s="3">
        <v>193</v>
      </c>
      <c r="H1141" s="4">
        <v>223273967</v>
      </c>
      <c r="I1141" s="3">
        <v>0.21214</v>
      </c>
      <c r="J1141" s="3">
        <v>25.472035002343979</v>
      </c>
      <c r="K1141" s="3">
        <v>54.749737001560533</v>
      </c>
    </row>
    <row r="1142" spans="1:11" x14ac:dyDescent="0.2">
      <c r="A1142" s="2" t="s">
        <v>113</v>
      </c>
      <c r="B1142" s="2" t="s">
        <v>114</v>
      </c>
      <c r="C1142" s="3">
        <v>2018</v>
      </c>
      <c r="D1142" s="3">
        <v>5255.0635068127203</v>
      </c>
      <c r="E1142" s="3">
        <v>-0.666645467281342</v>
      </c>
      <c r="F1142" s="3">
        <v>2.3321694968829298</v>
      </c>
      <c r="G1142" s="3">
        <v>306</v>
      </c>
      <c r="H1142" s="4">
        <v>226928892</v>
      </c>
      <c r="I1142" s="2"/>
      <c r="J1142" s="3">
        <v>27.626057079633711</v>
      </c>
      <c r="K1142" s="3">
        <v>55.275023044928922</v>
      </c>
    </row>
    <row r="1143" spans="1:11" x14ac:dyDescent="0.2">
      <c r="A1143" s="2" t="s">
        <v>113</v>
      </c>
      <c r="B1143" s="2" t="s">
        <v>114</v>
      </c>
      <c r="C1143" s="3">
        <v>2019</v>
      </c>
      <c r="D1143" s="3">
        <v>5295.9529513820344</v>
      </c>
      <c r="E1143" s="3">
        <v>-0.71821433305740401</v>
      </c>
      <c r="F1143" s="3">
        <v>2.2149200439453098</v>
      </c>
      <c r="G1143" s="3">
        <v>313</v>
      </c>
      <c r="H1143" s="4">
        <v>230800899</v>
      </c>
      <c r="I1143" s="3">
        <v>0.17474999999999999</v>
      </c>
      <c r="J1143" s="3">
        <v>28.905576986703231</v>
      </c>
      <c r="K1143" s="3">
        <v>56.136968599374477</v>
      </c>
    </row>
    <row r="1144" spans="1:11" x14ac:dyDescent="0.2">
      <c r="A1144" s="2" t="s">
        <v>113</v>
      </c>
      <c r="B1144" s="2" t="s">
        <v>114</v>
      </c>
      <c r="C1144" s="3">
        <v>2020</v>
      </c>
      <c r="D1144" s="3">
        <v>5135.014592888394</v>
      </c>
      <c r="E1144" s="3">
        <v>-0.57112866640090898</v>
      </c>
      <c r="F1144" s="3">
        <v>2.05718240718423</v>
      </c>
      <c r="G1144" s="3">
        <v>338</v>
      </c>
      <c r="H1144" s="4">
        <v>235001746</v>
      </c>
      <c r="I1144" s="2"/>
      <c r="J1144" s="3">
        <v>26.716280732881369</v>
      </c>
      <c r="K1144" s="3">
        <v>56.174807452678053</v>
      </c>
    </row>
    <row r="1145" spans="1:11" x14ac:dyDescent="0.2">
      <c r="A1145" s="2" t="s">
        <v>113</v>
      </c>
      <c r="B1145" s="2" t="s">
        <v>114</v>
      </c>
      <c r="C1145" s="3">
        <v>2021</v>
      </c>
      <c r="D1145" s="3">
        <v>5367.273647147621</v>
      </c>
      <c r="E1145" s="3">
        <v>-0.43882238864898698</v>
      </c>
      <c r="F1145" s="3">
        <v>1.6874612921399099</v>
      </c>
      <c r="G1145" s="3">
        <v>426</v>
      </c>
      <c r="H1145" s="4">
        <v>239477801</v>
      </c>
      <c r="I1145" s="3">
        <v>0.16431000000000001</v>
      </c>
      <c r="J1145" s="3">
        <v>27.030420412554751</v>
      </c>
      <c r="K1145" s="3">
        <v>56.488213862281512</v>
      </c>
    </row>
    <row r="1146" spans="1:11" x14ac:dyDescent="0.2">
      <c r="A1146" s="2" t="s">
        <v>115</v>
      </c>
      <c r="B1146" s="2" t="s">
        <v>116</v>
      </c>
      <c r="C1146" s="3">
        <v>2000</v>
      </c>
      <c r="D1146" s="3">
        <v>9998.5928544516009</v>
      </c>
      <c r="E1146" s="3">
        <v>-1.03906869888306</v>
      </c>
      <c r="F1146" s="3">
        <v>4.2302098274231001</v>
      </c>
      <c r="G1146" s="3">
        <v>11</v>
      </c>
      <c r="H1146" s="4">
        <v>5100868</v>
      </c>
      <c r="I1146" s="2"/>
      <c r="J1146" s="3">
        <v>78.644729761148483</v>
      </c>
      <c r="K1146" s="3">
        <v>59.537146798340537</v>
      </c>
    </row>
    <row r="1147" spans="1:11" x14ac:dyDescent="0.2">
      <c r="A1147" s="2" t="s">
        <v>115</v>
      </c>
      <c r="B1147" s="2" t="s">
        <v>116</v>
      </c>
      <c r="C1147" s="3">
        <v>2001</v>
      </c>
      <c r="D1147" s="3">
        <v>9749.2586584225719</v>
      </c>
      <c r="E1147" s="2"/>
      <c r="F1147" s="3">
        <v>3.8335700035095202</v>
      </c>
      <c r="G1147" s="3">
        <v>12</v>
      </c>
      <c r="H1147" s="4">
        <v>5187689</v>
      </c>
      <c r="I1147" s="3">
        <v>6.6989999999999994E-2</v>
      </c>
      <c r="J1147" s="3">
        <v>72.60569901182383</v>
      </c>
      <c r="K1147" s="3">
        <v>60.061420429743883</v>
      </c>
    </row>
    <row r="1148" spans="1:11" x14ac:dyDescent="0.2">
      <c r="A1148" s="2" t="s">
        <v>115</v>
      </c>
      <c r="B1148" s="2" t="s">
        <v>116</v>
      </c>
      <c r="C1148" s="3">
        <v>2002</v>
      </c>
      <c r="D1148" s="3">
        <v>9610.7477784215334</v>
      </c>
      <c r="E1148" s="3">
        <v>-1.11379849910736</v>
      </c>
      <c r="F1148" s="3">
        <v>3.4077301025390598</v>
      </c>
      <c r="G1148" s="3">
        <v>11</v>
      </c>
      <c r="H1148" s="4">
        <v>5261328</v>
      </c>
      <c r="I1148" s="3">
        <v>7.4929999999999997E-2</v>
      </c>
      <c r="J1148" s="3">
        <v>79.441565648292737</v>
      </c>
      <c r="K1148" s="3">
        <v>59.31986622925686</v>
      </c>
    </row>
    <row r="1149" spans="1:11" x14ac:dyDescent="0.2">
      <c r="A1149" s="2" t="s">
        <v>115</v>
      </c>
      <c r="B1149" s="2" t="s">
        <v>116</v>
      </c>
      <c r="C1149" s="3">
        <v>2003</v>
      </c>
      <c r="D1149" s="3">
        <v>9903.4502899217587</v>
      </c>
      <c r="E1149" s="3">
        <v>-0.997566938400269</v>
      </c>
      <c r="F1149" s="3">
        <v>3.3827600479125999</v>
      </c>
      <c r="G1149" s="3">
        <v>12</v>
      </c>
      <c r="H1149" s="4">
        <v>5326436</v>
      </c>
      <c r="I1149" s="3">
        <v>6.1350000000000002E-2</v>
      </c>
      <c r="J1149" s="3">
        <v>81.127363770116276</v>
      </c>
      <c r="K1149" s="3">
        <v>60.288645810786441</v>
      </c>
    </row>
    <row r="1150" spans="1:11" x14ac:dyDescent="0.2">
      <c r="A1150" s="2" t="s">
        <v>115</v>
      </c>
      <c r="B1150" s="2" t="s">
        <v>116</v>
      </c>
      <c r="C1150" s="3">
        <v>2004</v>
      </c>
      <c r="D1150" s="3">
        <v>10187.194394255021</v>
      </c>
      <c r="E1150" s="3">
        <v>-0.96507555246353105</v>
      </c>
      <c r="F1150" s="3">
        <v>2.8698999881744398</v>
      </c>
      <c r="G1150" s="3">
        <v>18</v>
      </c>
      <c r="H1150" s="4">
        <v>5388175</v>
      </c>
      <c r="I1150" s="3">
        <v>6.0659999999999999E-2</v>
      </c>
      <c r="J1150" s="3">
        <v>80.104446615554167</v>
      </c>
      <c r="K1150" s="3">
        <v>61.357548881673893</v>
      </c>
    </row>
    <row r="1151" spans="1:11" x14ac:dyDescent="0.2">
      <c r="A1151" s="2" t="s">
        <v>115</v>
      </c>
      <c r="B1151" s="2" t="s">
        <v>116</v>
      </c>
      <c r="C1151" s="3">
        <v>2005</v>
      </c>
      <c r="D1151" s="3">
        <v>10290.100822296001</v>
      </c>
      <c r="E1151" s="3">
        <v>-0.77709090709686302</v>
      </c>
      <c r="F1151" s="2"/>
      <c r="G1151" s="3">
        <v>24</v>
      </c>
      <c r="H1151" s="4">
        <v>5448097</v>
      </c>
      <c r="I1151" s="3">
        <v>6.0909999999999999E-2</v>
      </c>
      <c r="J1151" s="3">
        <v>85.021963654045734</v>
      </c>
      <c r="K1151" s="3">
        <v>62.762865241702741</v>
      </c>
    </row>
    <row r="1152" spans="1:11" x14ac:dyDescent="0.2">
      <c r="A1152" s="2" t="s">
        <v>115</v>
      </c>
      <c r="B1152" s="2" t="s">
        <v>116</v>
      </c>
      <c r="C1152" s="3">
        <v>2006</v>
      </c>
      <c r="D1152" s="3">
        <v>10672.99332523832</v>
      </c>
      <c r="E1152" s="3">
        <v>-0.96306443214416504</v>
      </c>
      <c r="F1152" s="2"/>
      <c r="G1152" s="3">
        <v>21</v>
      </c>
      <c r="H1152" s="4">
        <v>5505148</v>
      </c>
      <c r="I1152" s="2"/>
      <c r="J1152" s="3">
        <v>84.733531304812587</v>
      </c>
      <c r="K1152" s="3">
        <v>62.294799089105339</v>
      </c>
    </row>
    <row r="1153" spans="1:11" x14ac:dyDescent="0.2">
      <c r="A1153" s="2" t="s">
        <v>115</v>
      </c>
      <c r="B1153" s="2" t="s">
        <v>116</v>
      </c>
      <c r="C1153" s="3">
        <v>2007</v>
      </c>
      <c r="D1153" s="3">
        <v>11141.87047018781</v>
      </c>
      <c r="E1153" s="3">
        <v>-0.853146731853485</v>
      </c>
      <c r="F1153" s="3">
        <v>2.7395100593566899</v>
      </c>
      <c r="G1153" s="3">
        <v>37</v>
      </c>
      <c r="H1153" s="4">
        <v>5559386</v>
      </c>
      <c r="I1153" s="2"/>
      <c r="J1153" s="3">
        <v>79.001137420296814</v>
      </c>
      <c r="K1153" s="3">
        <v>62.600444153589457</v>
      </c>
    </row>
    <row r="1154" spans="1:11" x14ac:dyDescent="0.2">
      <c r="A1154" s="2" t="s">
        <v>115</v>
      </c>
      <c r="B1154" s="2" t="s">
        <v>116</v>
      </c>
      <c r="C1154" s="3">
        <v>2008</v>
      </c>
      <c r="D1154" s="3">
        <v>11751.139165171089</v>
      </c>
      <c r="E1154" s="3">
        <v>-0.87099212408065796</v>
      </c>
      <c r="F1154" s="2"/>
      <c r="G1154" s="3">
        <v>13</v>
      </c>
      <c r="H1154" s="4">
        <v>5613574</v>
      </c>
      <c r="I1154" s="3">
        <v>4.113E-2</v>
      </c>
      <c r="J1154" s="3">
        <v>80.777574657259137</v>
      </c>
      <c r="K1154" s="3">
        <v>63.473006234217159</v>
      </c>
    </row>
    <row r="1155" spans="1:11" x14ac:dyDescent="0.2">
      <c r="A1155" s="2" t="s">
        <v>115</v>
      </c>
      <c r="B1155" s="2" t="s">
        <v>116</v>
      </c>
      <c r="C1155" s="3">
        <v>2009</v>
      </c>
      <c r="D1155" s="3">
        <v>11601.285456509249</v>
      </c>
      <c r="E1155" s="3">
        <v>-0.90478652715682995</v>
      </c>
      <c r="F1155" s="2"/>
      <c r="G1155" s="3">
        <v>15</v>
      </c>
      <c r="H1155" s="4">
        <v>5671236</v>
      </c>
      <c r="I1155" s="2"/>
      <c r="J1155" s="3">
        <v>70.8419818624334</v>
      </c>
      <c r="K1155" s="3">
        <v>63.441606123737373</v>
      </c>
    </row>
    <row r="1156" spans="1:11" x14ac:dyDescent="0.2">
      <c r="A1156" s="2" t="s">
        <v>115</v>
      </c>
      <c r="B1156" s="2" t="s">
        <v>116</v>
      </c>
      <c r="C1156" s="3">
        <v>2010</v>
      </c>
      <c r="D1156" s="3">
        <v>12738.576560169709</v>
      </c>
      <c r="E1156" s="3">
        <v>-0.91205340623855602</v>
      </c>
      <c r="F1156" s="3">
        <v>2.7707200050353999</v>
      </c>
      <c r="G1156" s="3">
        <v>18</v>
      </c>
      <c r="H1156" s="4">
        <v>5737971</v>
      </c>
      <c r="I1156" s="2"/>
      <c r="J1156" s="3">
        <v>81.257523374678925</v>
      </c>
      <c r="K1156" s="3">
        <v>63.690171367694809</v>
      </c>
    </row>
    <row r="1157" spans="1:11" x14ac:dyDescent="0.2">
      <c r="A1157" s="2" t="s">
        <v>115</v>
      </c>
      <c r="B1157" s="2" t="s">
        <v>116</v>
      </c>
      <c r="C1157" s="3">
        <v>2011</v>
      </c>
      <c r="D1157" s="3">
        <v>13109.46657179045</v>
      </c>
      <c r="E1157" s="3">
        <v>-0.84945946931839</v>
      </c>
      <c r="F1157" s="3">
        <v>3.69282007217407</v>
      </c>
      <c r="G1157" s="2"/>
      <c r="H1157" s="4">
        <v>5814626</v>
      </c>
      <c r="I1157" s="3">
        <v>4.2160000000000003E-2</v>
      </c>
      <c r="J1157" s="3">
        <v>78.492123848990218</v>
      </c>
      <c r="K1157" s="3">
        <v>63.987340622745322</v>
      </c>
    </row>
    <row r="1158" spans="1:11" x14ac:dyDescent="0.2">
      <c r="A1158" s="2" t="s">
        <v>115</v>
      </c>
      <c r="B1158" s="2" t="s">
        <v>116</v>
      </c>
      <c r="C1158" s="3">
        <v>2012</v>
      </c>
      <c r="D1158" s="3">
        <v>12834.80159151306</v>
      </c>
      <c r="E1158" s="3">
        <v>-0.89953643083572399</v>
      </c>
      <c r="F1158" s="3">
        <v>3.668790102005</v>
      </c>
      <c r="G1158" s="2"/>
      <c r="H1158" s="4">
        <v>5897008</v>
      </c>
      <c r="I1158" s="3">
        <v>6.5170000000000006E-2</v>
      </c>
      <c r="J1158" s="3">
        <v>74.764957456108561</v>
      </c>
      <c r="K1158" s="3">
        <v>65.289082368326135</v>
      </c>
    </row>
    <row r="1159" spans="1:11" x14ac:dyDescent="0.2">
      <c r="A1159" s="2" t="s">
        <v>115</v>
      </c>
      <c r="B1159" s="2" t="s">
        <v>116</v>
      </c>
      <c r="C1159" s="3">
        <v>2013</v>
      </c>
      <c r="D1159" s="3">
        <v>13700.70305153914</v>
      </c>
      <c r="E1159" s="3">
        <v>-0.87956178188323997</v>
      </c>
      <c r="F1159" s="3">
        <v>2.6787119389223202</v>
      </c>
      <c r="G1159" s="2"/>
      <c r="H1159" s="4">
        <v>5982445</v>
      </c>
      <c r="I1159" s="3">
        <v>7.1629999999999999E-2</v>
      </c>
      <c r="J1159" s="3">
        <v>73.369871384132963</v>
      </c>
      <c r="K1159" s="3">
        <v>65.766758556547614</v>
      </c>
    </row>
    <row r="1160" spans="1:11" x14ac:dyDescent="0.2">
      <c r="A1160" s="2" t="s">
        <v>115</v>
      </c>
      <c r="B1160" s="2" t="s">
        <v>116</v>
      </c>
      <c r="C1160" s="3">
        <v>2014</v>
      </c>
      <c r="D1160" s="3">
        <v>14219.354430809881</v>
      </c>
      <c r="E1160" s="3">
        <v>-0.93822950124740601</v>
      </c>
      <c r="F1160" s="3">
        <v>2.5965589462906302</v>
      </c>
      <c r="G1160" s="2"/>
      <c r="H1160" s="4">
        <v>6069811</v>
      </c>
      <c r="I1160" s="3">
        <v>7.9009999999999997E-2</v>
      </c>
      <c r="J1160" s="3">
        <v>69.083724963089068</v>
      </c>
      <c r="K1160" s="3">
        <v>65.446801231060604</v>
      </c>
    </row>
    <row r="1161" spans="1:11" x14ac:dyDescent="0.2">
      <c r="A1161" s="2" t="s">
        <v>115</v>
      </c>
      <c r="B1161" s="2" t="s">
        <v>116</v>
      </c>
      <c r="C1161" s="3">
        <v>2015</v>
      </c>
      <c r="D1161" s="3">
        <v>14427.600234981061</v>
      </c>
      <c r="E1161" s="3">
        <v>-0.99876278638839699</v>
      </c>
      <c r="F1161" s="3">
        <v>3.33377822870463</v>
      </c>
      <c r="G1161" s="2"/>
      <c r="H1161" s="4">
        <v>6159103</v>
      </c>
      <c r="I1161" s="3">
        <v>9.6740000000000007E-2</v>
      </c>
      <c r="J1161" s="3">
        <v>66.915065525945735</v>
      </c>
      <c r="K1161" s="3">
        <v>66.235825211940849</v>
      </c>
    </row>
    <row r="1162" spans="1:11" x14ac:dyDescent="0.2">
      <c r="A1162" s="2" t="s">
        <v>115</v>
      </c>
      <c r="B1162" s="2" t="s">
        <v>116</v>
      </c>
      <c r="C1162" s="3">
        <v>2016</v>
      </c>
      <c r="D1162" s="3">
        <v>14826.663690997781</v>
      </c>
      <c r="E1162" s="3">
        <v>-0.821805059909821</v>
      </c>
      <c r="F1162" s="3">
        <v>3.4349799156189</v>
      </c>
      <c r="G1162" s="2"/>
      <c r="H1162" s="4">
        <v>6249126</v>
      </c>
      <c r="I1162" s="3">
        <v>0.11676</v>
      </c>
      <c r="J1162" s="3">
        <v>67.759315232211904</v>
      </c>
      <c r="K1162" s="3">
        <v>66.256724071067836</v>
      </c>
    </row>
    <row r="1163" spans="1:11" x14ac:dyDescent="0.2">
      <c r="A1163" s="2" t="s">
        <v>115</v>
      </c>
      <c r="B1163" s="2" t="s">
        <v>116</v>
      </c>
      <c r="C1163" s="3">
        <v>2017</v>
      </c>
      <c r="D1163" s="3">
        <v>15320.33664769544</v>
      </c>
      <c r="E1163" s="3">
        <v>-0.84179890155792203</v>
      </c>
      <c r="F1163" s="3">
        <v>3.0906207024227901</v>
      </c>
      <c r="G1163" s="2"/>
      <c r="H1163" s="4">
        <v>6338660</v>
      </c>
      <c r="I1163" s="3">
        <v>0.14888000000000001</v>
      </c>
      <c r="J1163" s="3">
        <v>71.080134403845875</v>
      </c>
      <c r="K1163" s="3">
        <v>66.508792999188316</v>
      </c>
    </row>
    <row r="1164" spans="1:11" x14ac:dyDescent="0.2">
      <c r="A1164" s="2" t="s">
        <v>115</v>
      </c>
      <c r="B1164" s="2" t="s">
        <v>116</v>
      </c>
      <c r="C1164" s="3">
        <v>2018</v>
      </c>
      <c r="D1164" s="3">
        <v>15592.984139032171</v>
      </c>
      <c r="E1164" s="3">
        <v>-0.60488873720169101</v>
      </c>
      <c r="F1164" s="3">
        <v>3.2961960606942999</v>
      </c>
      <c r="G1164" s="3">
        <v>34</v>
      </c>
      <c r="H1164" s="4">
        <v>6427382</v>
      </c>
      <c r="I1164" s="3">
        <v>0.14684</v>
      </c>
      <c r="J1164" s="3">
        <v>72.069223625949476</v>
      </c>
      <c r="K1164" s="3">
        <v>67.018457154130587</v>
      </c>
    </row>
    <row r="1165" spans="1:11" x14ac:dyDescent="0.2">
      <c r="A1165" s="2" t="s">
        <v>115</v>
      </c>
      <c r="B1165" s="2" t="s">
        <v>116</v>
      </c>
      <c r="C1165" s="3">
        <v>2019</v>
      </c>
      <c r="D1165" s="3">
        <v>15321.324552894661</v>
      </c>
      <c r="E1165" s="3">
        <v>-0.57677310705184903</v>
      </c>
      <c r="F1165" s="3">
        <v>3.4898302719433398</v>
      </c>
      <c r="G1165" s="3">
        <v>4</v>
      </c>
      <c r="H1165" s="4">
        <v>6515058</v>
      </c>
      <c r="I1165" s="3">
        <v>0.13750999999999999</v>
      </c>
      <c r="J1165" s="3">
        <v>71.222161734243329</v>
      </c>
      <c r="K1165" s="3">
        <v>67.207866885371587</v>
      </c>
    </row>
    <row r="1166" spans="1:11" x14ac:dyDescent="0.2">
      <c r="A1166" s="2" t="s">
        <v>115</v>
      </c>
      <c r="B1166" s="2" t="s">
        <v>116</v>
      </c>
      <c r="C1166" s="3">
        <v>2020</v>
      </c>
      <c r="D1166" s="3">
        <v>14991.660620114801</v>
      </c>
      <c r="E1166" s="3">
        <v>-0.565207660198212</v>
      </c>
      <c r="F1166" s="3">
        <v>3.9361500740051301</v>
      </c>
      <c r="G1166" s="3">
        <v>14</v>
      </c>
      <c r="H1166" s="4">
        <v>6603739</v>
      </c>
      <c r="I1166" s="3">
        <v>0.15697</v>
      </c>
      <c r="J1166" s="3">
        <v>62.76021747485747</v>
      </c>
      <c r="K1166" s="3">
        <v>68.495576528679649</v>
      </c>
    </row>
    <row r="1167" spans="1:11" x14ac:dyDescent="0.2">
      <c r="A1167" s="2" t="s">
        <v>115</v>
      </c>
      <c r="B1167" s="2" t="s">
        <v>116</v>
      </c>
      <c r="C1167" s="3">
        <v>2021</v>
      </c>
      <c r="D1167" s="3">
        <v>15406.167064657569</v>
      </c>
      <c r="E1167" s="3">
        <v>-0.65592020750045799</v>
      </c>
      <c r="F1167" s="3">
        <v>3.4107000827789302</v>
      </c>
      <c r="G1167" s="3">
        <v>10</v>
      </c>
      <c r="H1167" s="4">
        <v>6684182</v>
      </c>
      <c r="I1167" s="3">
        <v>0.14398</v>
      </c>
      <c r="J1167" s="3">
        <v>69.742273021119985</v>
      </c>
      <c r="K1167" s="3">
        <v>68.458757379599575</v>
      </c>
    </row>
    <row r="1168" spans="1:11" x14ac:dyDescent="0.2">
      <c r="A1168" s="2" t="s">
        <v>117</v>
      </c>
      <c r="B1168" s="2" t="s">
        <v>118</v>
      </c>
      <c r="C1168" s="3">
        <v>2000</v>
      </c>
      <c r="D1168" s="3">
        <v>7669.0953178045966</v>
      </c>
      <c r="E1168" s="3">
        <v>-0.183523014187813</v>
      </c>
      <c r="F1168" s="3">
        <v>3.2280299663543701</v>
      </c>
      <c r="G1168" s="3">
        <v>40</v>
      </c>
      <c r="H1168" s="4">
        <v>26598331</v>
      </c>
      <c r="I1168" s="3">
        <v>0.11266</v>
      </c>
      <c r="J1168" s="3">
        <v>35.538032162317812</v>
      </c>
      <c r="K1168" s="3">
        <v>60.982566976487561</v>
      </c>
    </row>
    <row r="1169" spans="1:11" x14ac:dyDescent="0.2">
      <c r="A1169" s="2" t="s">
        <v>117</v>
      </c>
      <c r="B1169" s="2" t="s">
        <v>118</v>
      </c>
      <c r="C1169" s="3">
        <v>2001</v>
      </c>
      <c r="D1169" s="3">
        <v>7611.6662817531969</v>
      </c>
      <c r="E1169" s="2"/>
      <c r="F1169" s="3">
        <v>3.03712010383606</v>
      </c>
      <c r="G1169" s="3">
        <v>36</v>
      </c>
      <c r="H1169" s="4">
        <v>26964601</v>
      </c>
      <c r="I1169" s="3">
        <v>0.11096</v>
      </c>
      <c r="J1169" s="3">
        <v>35.064401431021167</v>
      </c>
      <c r="K1169" s="3">
        <v>61.64197699049317</v>
      </c>
    </row>
    <row r="1170" spans="1:11" x14ac:dyDescent="0.2">
      <c r="A1170" s="2" t="s">
        <v>117</v>
      </c>
      <c r="B1170" s="2" t="s">
        <v>118</v>
      </c>
      <c r="C1170" s="3">
        <v>2002</v>
      </c>
      <c r="D1170" s="3">
        <v>7931.5797503990734</v>
      </c>
      <c r="E1170" s="3">
        <v>-0.39141887426376298</v>
      </c>
      <c r="F1170" s="3">
        <v>2.8205699920654301</v>
      </c>
      <c r="G1170" s="3">
        <v>29</v>
      </c>
      <c r="H1170" s="4">
        <v>27288217</v>
      </c>
      <c r="I1170" s="3">
        <v>0.10614</v>
      </c>
      <c r="J1170" s="3">
        <v>35.24918133176952</v>
      </c>
      <c r="K1170" s="3">
        <v>61.806935954078611</v>
      </c>
    </row>
    <row r="1171" spans="1:11" x14ac:dyDescent="0.2">
      <c r="A1171" s="2" t="s">
        <v>117</v>
      </c>
      <c r="B1171" s="2" t="s">
        <v>118</v>
      </c>
      <c r="C1171" s="3">
        <v>2003</v>
      </c>
      <c r="D1171" s="3">
        <v>8174.3794268384936</v>
      </c>
      <c r="E1171" s="3">
        <v>-0.58518028259277299</v>
      </c>
      <c r="F1171" s="3">
        <v>2.9377999305725102</v>
      </c>
      <c r="G1171" s="3">
        <v>32</v>
      </c>
      <c r="H1171" s="4">
        <v>27580490</v>
      </c>
      <c r="I1171" s="3">
        <v>0.10813</v>
      </c>
      <c r="J1171" s="3">
        <v>37.6246103251002</v>
      </c>
      <c r="K1171" s="3">
        <v>62.130532826160767</v>
      </c>
    </row>
    <row r="1172" spans="1:11" x14ac:dyDescent="0.2">
      <c r="A1172" s="2" t="s">
        <v>117</v>
      </c>
      <c r="B1172" s="2" t="s">
        <v>118</v>
      </c>
      <c r="C1172" s="3">
        <v>2004</v>
      </c>
      <c r="D1172" s="3">
        <v>8495.9863928579962</v>
      </c>
      <c r="E1172" s="3">
        <v>-0.64982086420059204</v>
      </c>
      <c r="F1172" s="3">
        <v>2.9578700065612802</v>
      </c>
      <c r="G1172" s="3">
        <v>38</v>
      </c>
      <c r="H1172" s="4">
        <v>27852190</v>
      </c>
      <c r="I1172" s="3">
        <v>0.15578</v>
      </c>
      <c r="J1172" s="3">
        <v>41.936078267927257</v>
      </c>
      <c r="K1172" s="3">
        <v>62.388629138018842</v>
      </c>
    </row>
    <row r="1173" spans="1:11" x14ac:dyDescent="0.2">
      <c r="A1173" s="2" t="s">
        <v>117</v>
      </c>
      <c r="B1173" s="2" t="s">
        <v>118</v>
      </c>
      <c r="C1173" s="3">
        <v>2005</v>
      </c>
      <c r="D1173" s="3">
        <v>8949.9544269107737</v>
      </c>
      <c r="E1173" s="3">
        <v>-0.69596052169799805</v>
      </c>
      <c r="F1173" s="3">
        <v>2.8390300273895299</v>
      </c>
      <c r="G1173" s="3">
        <v>27</v>
      </c>
      <c r="H1173" s="4">
        <v>28101180</v>
      </c>
      <c r="I1173" s="2"/>
      <c r="J1173" s="3">
        <v>47.357317476839391</v>
      </c>
      <c r="K1173" s="3">
        <v>62.787330892963247</v>
      </c>
    </row>
    <row r="1174" spans="1:11" x14ac:dyDescent="0.2">
      <c r="A1174" s="2" t="s">
        <v>117</v>
      </c>
      <c r="B1174" s="2" t="s">
        <v>118</v>
      </c>
      <c r="C1174" s="3">
        <v>2006</v>
      </c>
      <c r="D1174" s="3">
        <v>9547.9132776255428</v>
      </c>
      <c r="E1174" s="3">
        <v>-0.757418632507324</v>
      </c>
      <c r="F1174" s="3">
        <v>2.65281009674072</v>
      </c>
      <c r="G1174" s="3">
        <v>39</v>
      </c>
      <c r="H1174" s="4">
        <v>28324491</v>
      </c>
      <c r="I1174" s="2"/>
      <c r="J1174" s="3">
        <v>51.785056033844228</v>
      </c>
      <c r="K1174" s="3">
        <v>63.435497928868529</v>
      </c>
    </row>
    <row r="1175" spans="1:11" x14ac:dyDescent="0.2">
      <c r="A1175" s="2" t="s">
        <v>117</v>
      </c>
      <c r="B1175" s="2" t="s">
        <v>118</v>
      </c>
      <c r="C1175" s="3">
        <v>2007</v>
      </c>
      <c r="D1175" s="3">
        <v>10286.354819362459</v>
      </c>
      <c r="E1175" s="3">
        <v>-0.62749242782592796</v>
      </c>
      <c r="F1175" s="3">
        <v>2.6294000148773198</v>
      </c>
      <c r="G1175" s="3">
        <v>28</v>
      </c>
      <c r="H1175" s="4">
        <v>28530699</v>
      </c>
      <c r="I1175" s="2"/>
      <c r="J1175" s="3">
        <v>55.688113283681531</v>
      </c>
      <c r="K1175" s="3">
        <v>64.058498813767926</v>
      </c>
    </row>
    <row r="1176" spans="1:11" x14ac:dyDescent="0.2">
      <c r="A1176" s="2" t="s">
        <v>117</v>
      </c>
      <c r="B1176" s="2" t="s">
        <v>118</v>
      </c>
      <c r="C1176" s="3">
        <v>2008</v>
      </c>
      <c r="D1176" s="3">
        <v>11151.53052156404</v>
      </c>
      <c r="E1176" s="3">
        <v>-0.43101951479911799</v>
      </c>
      <c r="F1176" s="3">
        <v>2.8677499294281001</v>
      </c>
      <c r="G1176" s="3">
        <v>31</v>
      </c>
      <c r="H1176" s="4">
        <v>28719041</v>
      </c>
      <c r="I1176" s="2"/>
      <c r="J1176" s="3">
        <v>58.433767389905277</v>
      </c>
      <c r="K1176" s="3">
        <v>64.87430083396994</v>
      </c>
    </row>
    <row r="1177" spans="1:11" x14ac:dyDescent="0.2">
      <c r="A1177" s="2" t="s">
        <v>117</v>
      </c>
      <c r="B1177" s="2" t="s">
        <v>118</v>
      </c>
      <c r="C1177" s="3">
        <v>2009</v>
      </c>
      <c r="D1177" s="3">
        <v>11204.37687552444</v>
      </c>
      <c r="E1177" s="3">
        <v>-0.48915544152259799</v>
      </c>
      <c r="F1177" s="3">
        <v>3.1399400234222399</v>
      </c>
      <c r="G1177" s="3">
        <v>37</v>
      </c>
      <c r="H1177" s="4">
        <v>28896811</v>
      </c>
      <c r="I1177" s="2"/>
      <c r="J1177" s="3">
        <v>48.111929615351848</v>
      </c>
      <c r="K1177" s="3">
        <v>65.677615870893831</v>
      </c>
    </row>
    <row r="1178" spans="1:11" x14ac:dyDescent="0.2">
      <c r="A1178" s="2" t="s">
        <v>117</v>
      </c>
      <c r="B1178" s="2" t="s">
        <v>118</v>
      </c>
      <c r="C1178" s="3">
        <v>2010</v>
      </c>
      <c r="D1178" s="3">
        <v>12059.01801833223</v>
      </c>
      <c r="E1178" s="3">
        <v>-0.23936796188354501</v>
      </c>
      <c r="F1178" s="3">
        <v>2.8673000335693399</v>
      </c>
      <c r="G1178" s="3">
        <v>39</v>
      </c>
      <c r="H1178" s="4">
        <v>29086019</v>
      </c>
      <c r="I1178" s="2"/>
      <c r="J1178" s="3">
        <v>51.672808937003353</v>
      </c>
      <c r="K1178" s="3">
        <v>66.382905825057293</v>
      </c>
    </row>
    <row r="1179" spans="1:11" x14ac:dyDescent="0.2">
      <c r="A1179" s="2" t="s">
        <v>117</v>
      </c>
      <c r="B1179" s="2" t="s">
        <v>118</v>
      </c>
      <c r="C1179" s="3">
        <v>2011</v>
      </c>
      <c r="D1179" s="3">
        <v>12726.599981519779</v>
      </c>
      <c r="E1179" s="3">
        <v>-0.206647053360939</v>
      </c>
      <c r="F1179" s="3">
        <v>2.6635000705718999</v>
      </c>
      <c r="G1179" s="3">
        <v>39</v>
      </c>
      <c r="H1179" s="4">
        <v>29304086</v>
      </c>
      <c r="I1179" s="3">
        <v>8.2820000000000005E-2</v>
      </c>
      <c r="J1179" s="3">
        <v>55.988280283860661</v>
      </c>
      <c r="K1179" s="3">
        <v>66.675509585349289</v>
      </c>
    </row>
    <row r="1180" spans="1:11" x14ac:dyDescent="0.2">
      <c r="A1180" s="2" t="s">
        <v>117</v>
      </c>
      <c r="B1180" s="2" t="s">
        <v>118</v>
      </c>
      <c r="C1180" s="3">
        <v>2012</v>
      </c>
      <c r="D1180" s="3">
        <v>13395.39938058914</v>
      </c>
      <c r="E1180" s="3">
        <v>-0.18742011487484</v>
      </c>
      <c r="F1180" s="3">
        <v>2.9227600097656201</v>
      </c>
      <c r="G1180" s="3">
        <v>54</v>
      </c>
      <c r="H1180" s="4">
        <v>29550366</v>
      </c>
      <c r="I1180" s="3">
        <v>5.5300000000000002E-2</v>
      </c>
      <c r="J1180" s="3">
        <v>52.619895263229367</v>
      </c>
      <c r="K1180" s="3">
        <v>66.873323160173172</v>
      </c>
    </row>
    <row r="1181" spans="1:11" x14ac:dyDescent="0.2">
      <c r="A1181" s="2" t="s">
        <v>117</v>
      </c>
      <c r="B1181" s="2" t="s">
        <v>118</v>
      </c>
      <c r="C1181" s="3">
        <v>2013</v>
      </c>
      <c r="D1181" s="3">
        <v>14052.137619168339</v>
      </c>
      <c r="E1181" s="3">
        <v>-0.15103806555271099</v>
      </c>
      <c r="F1181" s="3">
        <v>3.2972900867462198</v>
      </c>
      <c r="G1181" s="3">
        <v>73</v>
      </c>
      <c r="H1181" s="4">
        <v>29817919</v>
      </c>
      <c r="I1181" s="3">
        <v>8.1739999999999993E-2</v>
      </c>
      <c r="J1181" s="3">
        <v>49.787142447144362</v>
      </c>
      <c r="K1181" s="3">
        <v>67.632914393939402</v>
      </c>
    </row>
    <row r="1182" spans="1:11" x14ac:dyDescent="0.2">
      <c r="A1182" s="2" t="s">
        <v>117</v>
      </c>
      <c r="B1182" s="2" t="s">
        <v>118</v>
      </c>
      <c r="C1182" s="3">
        <v>2014</v>
      </c>
      <c r="D1182" s="3">
        <v>14244.56602129481</v>
      </c>
      <c r="E1182" s="3">
        <v>-0.32671040296554599</v>
      </c>
      <c r="F1182" s="3">
        <v>3.6959900856018102</v>
      </c>
      <c r="G1182" s="3">
        <v>83</v>
      </c>
      <c r="H1182" s="4">
        <v>30115826</v>
      </c>
      <c r="I1182" s="3">
        <v>0.10804999999999999</v>
      </c>
      <c r="J1182" s="3">
        <v>46.853121091289921</v>
      </c>
      <c r="K1182" s="3">
        <v>68.938925381970975</v>
      </c>
    </row>
    <row r="1183" spans="1:11" x14ac:dyDescent="0.2">
      <c r="A1183" s="2" t="s">
        <v>117</v>
      </c>
      <c r="B1183" s="2" t="s">
        <v>118</v>
      </c>
      <c r="C1183" s="3">
        <v>2015</v>
      </c>
      <c r="D1183" s="3">
        <v>14542.7930911313</v>
      </c>
      <c r="E1183" s="3">
        <v>-0.36745366454124501</v>
      </c>
      <c r="F1183" s="3">
        <v>3.9693300724029501</v>
      </c>
      <c r="G1183" s="3">
        <v>67</v>
      </c>
      <c r="H1183" s="4">
        <v>30457600</v>
      </c>
      <c r="I1183" s="3">
        <v>0.11702</v>
      </c>
      <c r="J1183" s="3">
        <v>45.162768689114777</v>
      </c>
      <c r="K1183" s="3">
        <v>69.281484528053653</v>
      </c>
    </row>
    <row r="1184" spans="1:11" x14ac:dyDescent="0.2">
      <c r="A1184" s="2" t="s">
        <v>117</v>
      </c>
      <c r="B1184" s="2" t="s">
        <v>118</v>
      </c>
      <c r="C1184" s="3">
        <v>2016</v>
      </c>
      <c r="D1184" s="3">
        <v>14917.448947358789</v>
      </c>
      <c r="E1184" s="3">
        <v>-0.25628215074539201</v>
      </c>
      <c r="F1184" s="3">
        <v>3.8131699562072701</v>
      </c>
      <c r="G1184" s="3">
        <v>72</v>
      </c>
      <c r="H1184" s="4">
        <v>30866494</v>
      </c>
      <c r="I1184" s="3">
        <v>0.12008000000000001</v>
      </c>
      <c r="J1184" s="3">
        <v>45.388841196415449</v>
      </c>
      <c r="K1184" s="3">
        <v>69.446670895934133</v>
      </c>
    </row>
    <row r="1185" spans="1:11" x14ac:dyDescent="0.2">
      <c r="A1185" s="2" t="s">
        <v>117</v>
      </c>
      <c r="B1185" s="2" t="s">
        <v>118</v>
      </c>
      <c r="C1185" s="3">
        <v>2017</v>
      </c>
      <c r="D1185" s="3">
        <v>15069.52210846589</v>
      </c>
      <c r="E1185" s="3">
        <v>-0.204775094985962</v>
      </c>
      <c r="F1185" s="3">
        <v>3.9313099384307901</v>
      </c>
      <c r="G1185" s="3">
        <v>100</v>
      </c>
      <c r="H1185" s="4">
        <v>31324637</v>
      </c>
      <c r="I1185" s="3">
        <v>0.12085</v>
      </c>
      <c r="J1185" s="3">
        <v>47.513550361997062</v>
      </c>
      <c r="K1185" s="3">
        <v>70.211598756472299</v>
      </c>
    </row>
    <row r="1186" spans="1:11" x14ac:dyDescent="0.2">
      <c r="A1186" s="2" t="s">
        <v>117</v>
      </c>
      <c r="B1186" s="2" t="s">
        <v>118</v>
      </c>
      <c r="C1186" s="3">
        <v>2018</v>
      </c>
      <c r="D1186" s="3">
        <v>15386.260164250551</v>
      </c>
      <c r="E1186" s="3">
        <v>-0.323809534311295</v>
      </c>
      <c r="F1186" s="3">
        <v>3.7139201164245601</v>
      </c>
      <c r="G1186" s="3">
        <v>89</v>
      </c>
      <c r="H1186" s="4">
        <v>31897584</v>
      </c>
      <c r="I1186" s="3">
        <v>0.12683</v>
      </c>
      <c r="J1186" s="3">
        <v>48.631470171736012</v>
      </c>
      <c r="K1186" s="3">
        <v>70.987893879976227</v>
      </c>
    </row>
    <row r="1187" spans="1:11" x14ac:dyDescent="0.2">
      <c r="A1187" s="2" t="s">
        <v>117</v>
      </c>
      <c r="B1187" s="2" t="s">
        <v>118</v>
      </c>
      <c r="C1187" s="3">
        <v>2019</v>
      </c>
      <c r="D1187" s="3">
        <v>15463.54323978818</v>
      </c>
      <c r="E1187" s="3">
        <v>-0.125898167490959</v>
      </c>
      <c r="F1187" s="3">
        <v>3.8224298954010001</v>
      </c>
      <c r="G1187" s="3">
        <v>137</v>
      </c>
      <c r="H1187" s="4">
        <v>32449303</v>
      </c>
      <c r="I1187" s="3">
        <v>0.15695999999999999</v>
      </c>
      <c r="J1187" s="3">
        <v>46.943505375440949</v>
      </c>
      <c r="K1187" s="3">
        <v>71.459165495289028</v>
      </c>
    </row>
    <row r="1188" spans="1:11" x14ac:dyDescent="0.2">
      <c r="A1188" s="2" t="s">
        <v>117</v>
      </c>
      <c r="B1188" s="2" t="s">
        <v>118</v>
      </c>
      <c r="C1188" s="3">
        <v>2020</v>
      </c>
      <c r="D1188" s="3">
        <v>13609.599960959469</v>
      </c>
      <c r="E1188" s="3">
        <v>-0.29428005218505898</v>
      </c>
      <c r="F1188" s="3">
        <v>4.2593798637390101</v>
      </c>
      <c r="G1188" s="3">
        <v>125</v>
      </c>
      <c r="H1188" s="4">
        <v>32838579</v>
      </c>
      <c r="I1188" s="3">
        <v>0.17229</v>
      </c>
      <c r="J1188" s="3">
        <v>44.245967197744037</v>
      </c>
      <c r="K1188" s="3">
        <v>70.598570144724562</v>
      </c>
    </row>
    <row r="1189" spans="1:11" x14ac:dyDescent="0.2">
      <c r="A1189" s="2" t="s">
        <v>117</v>
      </c>
      <c r="B1189" s="2" t="s">
        <v>118</v>
      </c>
      <c r="C1189" s="3">
        <v>2021</v>
      </c>
      <c r="D1189" s="3">
        <v>15280.55121064864</v>
      </c>
      <c r="E1189" s="3">
        <v>-0.29528051614761402</v>
      </c>
      <c r="F1189" s="3">
        <v>3.9272100925445601</v>
      </c>
      <c r="G1189" s="3">
        <v>94</v>
      </c>
      <c r="H1189" s="4">
        <v>33155882</v>
      </c>
      <c r="I1189" s="3">
        <v>0.13752</v>
      </c>
      <c r="J1189" s="3">
        <v>55.427249365521973</v>
      </c>
      <c r="K1189" s="3">
        <v>72.049185603938554</v>
      </c>
    </row>
    <row r="1190" spans="1:11" x14ac:dyDescent="0.2">
      <c r="A1190" s="2" t="s">
        <v>119</v>
      </c>
      <c r="B1190" s="2" t="s">
        <v>120</v>
      </c>
      <c r="C1190" s="3">
        <v>2000</v>
      </c>
      <c r="D1190" s="3">
        <v>4740.4389169456917</v>
      </c>
      <c r="E1190" s="3">
        <v>-0.20412816107273099</v>
      </c>
      <c r="F1190" s="3">
        <v>3.16440010070801</v>
      </c>
      <c r="G1190" s="3">
        <v>154</v>
      </c>
      <c r="H1190" s="4">
        <v>79625397</v>
      </c>
      <c r="I1190" s="2"/>
      <c r="J1190" s="3">
        <v>85.15336846000389</v>
      </c>
      <c r="K1190" s="3">
        <v>57.725372712418299</v>
      </c>
    </row>
    <row r="1191" spans="1:11" x14ac:dyDescent="0.2">
      <c r="A1191" s="2" t="s">
        <v>119</v>
      </c>
      <c r="B1191" s="2" t="s">
        <v>120</v>
      </c>
      <c r="C1191" s="3">
        <v>2001</v>
      </c>
      <c r="D1191" s="3">
        <v>4778.4008437473958</v>
      </c>
      <c r="E1191" s="2"/>
      <c r="F1191" s="3">
        <v>2.9246399402618399</v>
      </c>
      <c r="G1191" s="3">
        <v>135</v>
      </c>
      <c r="H1191" s="4">
        <v>81401488</v>
      </c>
      <c r="I1191" s="2"/>
      <c r="J1191" s="3">
        <v>84.900388623753074</v>
      </c>
      <c r="K1191" s="3">
        <v>57.979453898225948</v>
      </c>
    </row>
    <row r="1192" spans="1:11" x14ac:dyDescent="0.2">
      <c r="A1192" s="2" t="s">
        <v>119</v>
      </c>
      <c r="B1192" s="2" t="s">
        <v>120</v>
      </c>
      <c r="C1192" s="3">
        <v>2002</v>
      </c>
      <c r="D1192" s="3">
        <v>4856.4994842956712</v>
      </c>
      <c r="E1192" s="3">
        <v>-0.17897506058216101</v>
      </c>
      <c r="F1192" s="3">
        <v>2.8922200202941899</v>
      </c>
      <c r="G1192" s="3">
        <v>149</v>
      </c>
      <c r="H1192" s="4">
        <v>83068889</v>
      </c>
      <c r="I1192" s="3">
        <v>0.13263</v>
      </c>
      <c r="J1192" s="3">
        <v>83.844804093778933</v>
      </c>
      <c r="K1192" s="3">
        <v>58.396724836601301</v>
      </c>
    </row>
    <row r="1193" spans="1:11" x14ac:dyDescent="0.2">
      <c r="A1193" s="2" t="s">
        <v>119</v>
      </c>
      <c r="B1193" s="2" t="s">
        <v>120</v>
      </c>
      <c r="C1193" s="3">
        <v>2003</v>
      </c>
      <c r="D1193" s="3">
        <v>5003.3831771871583</v>
      </c>
      <c r="E1193" s="3">
        <v>-0.14701889455318501</v>
      </c>
      <c r="F1193" s="3">
        <v>2.93517994880676</v>
      </c>
      <c r="G1193" s="3">
        <v>141</v>
      </c>
      <c r="H1193" s="4">
        <v>84731835</v>
      </c>
      <c r="I1193" s="3">
        <v>0.12526999999999999</v>
      </c>
      <c r="J1193" s="3">
        <v>87.574644363663595</v>
      </c>
      <c r="K1193" s="3">
        <v>58.77699211017741</v>
      </c>
    </row>
    <row r="1194" spans="1:11" x14ac:dyDescent="0.2">
      <c r="A1194" s="2" t="s">
        <v>119</v>
      </c>
      <c r="B1194" s="2" t="s">
        <v>120</v>
      </c>
      <c r="C1194" s="3">
        <v>2004</v>
      </c>
      <c r="D1194" s="3">
        <v>5229.4508070016482</v>
      </c>
      <c r="E1194" s="3">
        <v>-0.22178980708122301</v>
      </c>
      <c r="F1194" s="3">
        <v>2.4698300361633301</v>
      </c>
      <c r="G1194" s="3">
        <v>158</v>
      </c>
      <c r="H1194" s="4">
        <v>86394504</v>
      </c>
      <c r="I1194" s="2"/>
      <c r="J1194" s="3">
        <v>87.125284823204836</v>
      </c>
      <c r="K1194" s="3">
        <v>59.177685784313717</v>
      </c>
    </row>
    <row r="1195" spans="1:11" x14ac:dyDescent="0.2">
      <c r="A1195" s="2" t="s">
        <v>119</v>
      </c>
      <c r="B1195" s="2" t="s">
        <v>120</v>
      </c>
      <c r="C1195" s="3">
        <v>2005</v>
      </c>
      <c r="D1195" s="3">
        <v>5386.8165371289133</v>
      </c>
      <c r="E1195" s="3">
        <v>-1.64202656596899E-2</v>
      </c>
      <c r="F1195" s="3">
        <v>2.3280699253082302</v>
      </c>
      <c r="G1195" s="3">
        <v>210</v>
      </c>
      <c r="H1195" s="4">
        <v>88015962</v>
      </c>
      <c r="I1195" s="3">
        <v>0.10692</v>
      </c>
      <c r="J1195" s="3">
        <v>83.845674570805116</v>
      </c>
      <c r="K1195" s="3">
        <v>59.037797759103633</v>
      </c>
    </row>
    <row r="1196" spans="1:11" x14ac:dyDescent="0.2">
      <c r="A1196" s="2" t="s">
        <v>119</v>
      </c>
      <c r="B1196" s="2" t="s">
        <v>120</v>
      </c>
      <c r="C1196" s="3">
        <v>2006</v>
      </c>
      <c r="D1196" s="3">
        <v>5578.5722511213889</v>
      </c>
      <c r="E1196" s="3">
        <v>-0.13432827591896099</v>
      </c>
      <c r="F1196" s="3">
        <v>2.4257900714874299</v>
      </c>
      <c r="G1196" s="3">
        <v>223</v>
      </c>
      <c r="H1196" s="4">
        <v>89508986</v>
      </c>
      <c r="I1196" s="2"/>
      <c r="J1196" s="3">
        <v>80.850538672877491</v>
      </c>
      <c r="K1196" s="3">
        <v>59.113423646125121</v>
      </c>
    </row>
    <row r="1197" spans="1:11" x14ac:dyDescent="0.2">
      <c r="A1197" s="2" t="s">
        <v>119</v>
      </c>
      <c r="B1197" s="2" t="s">
        <v>120</v>
      </c>
      <c r="C1197" s="3">
        <v>2007</v>
      </c>
      <c r="D1197" s="3">
        <v>5840.0681016996532</v>
      </c>
      <c r="E1197" s="3">
        <v>0.106631629168987</v>
      </c>
      <c r="F1197" s="3">
        <v>2.48517990112305</v>
      </c>
      <c r="G1197" s="3">
        <v>225</v>
      </c>
      <c r="H1197" s="4">
        <v>91075184</v>
      </c>
      <c r="I1197" s="3">
        <v>0.10498</v>
      </c>
      <c r="J1197" s="3">
        <v>73.6449799920629</v>
      </c>
      <c r="K1197" s="3">
        <v>59.19044269374416</v>
      </c>
    </row>
    <row r="1198" spans="1:11" x14ac:dyDescent="0.2">
      <c r="A1198" s="2" t="s">
        <v>119</v>
      </c>
      <c r="B1198" s="2" t="s">
        <v>120</v>
      </c>
      <c r="C1198" s="3">
        <v>2008</v>
      </c>
      <c r="D1198" s="3">
        <v>5987.0375786183549</v>
      </c>
      <c r="E1198" s="3">
        <v>4.7635644674301099E-2</v>
      </c>
      <c r="F1198" s="3">
        <v>2.5828299522399898</v>
      </c>
      <c r="G1198" s="3">
        <v>216</v>
      </c>
      <c r="H1198" s="4">
        <v>92699095</v>
      </c>
      <c r="I1198" s="2"/>
      <c r="J1198" s="3">
        <v>67.681070773040105</v>
      </c>
      <c r="K1198" s="3">
        <v>60.031705158730162</v>
      </c>
    </row>
    <row r="1199" spans="1:11" x14ac:dyDescent="0.2">
      <c r="A1199" s="2" t="s">
        <v>119</v>
      </c>
      <c r="B1199" s="2" t="s">
        <v>120</v>
      </c>
      <c r="C1199" s="3">
        <v>2009</v>
      </c>
      <c r="D1199" s="3">
        <v>5965.3073090222106</v>
      </c>
      <c r="E1199" s="3">
        <v>2.8276430442929299E-2</v>
      </c>
      <c r="F1199" s="3">
        <v>2.53777003288269</v>
      </c>
      <c r="G1199" s="3">
        <v>172</v>
      </c>
      <c r="H1199" s="4">
        <v>94384250</v>
      </c>
      <c r="I1199" s="3">
        <v>0.10901</v>
      </c>
      <c r="J1199" s="3">
        <v>60.886590786975837</v>
      </c>
      <c r="K1199" s="3">
        <v>60.188191456582629</v>
      </c>
    </row>
    <row r="1200" spans="1:11" x14ac:dyDescent="0.2">
      <c r="A1200" s="2" t="s">
        <v>119</v>
      </c>
      <c r="B1200" s="2" t="s">
        <v>120</v>
      </c>
      <c r="C1200" s="3">
        <v>2010</v>
      </c>
      <c r="D1200" s="3">
        <v>6273.0392773151452</v>
      </c>
      <c r="E1200" s="3">
        <v>7.0900924503803295E-2</v>
      </c>
      <c r="F1200" s="2"/>
      <c r="G1200" s="3">
        <v>170</v>
      </c>
      <c r="H1200" s="4">
        <v>96337125</v>
      </c>
      <c r="I1200" s="2"/>
      <c r="J1200" s="3">
        <v>66.104278513779676</v>
      </c>
      <c r="K1200" s="3">
        <v>60.532116153127902</v>
      </c>
    </row>
    <row r="1201" spans="1:11" x14ac:dyDescent="0.2">
      <c r="A1201" s="2" t="s">
        <v>119</v>
      </c>
      <c r="B1201" s="2" t="s">
        <v>120</v>
      </c>
      <c r="C1201" s="3">
        <v>2011</v>
      </c>
      <c r="D1201" s="3">
        <v>6388.3129695997704</v>
      </c>
      <c r="E1201" s="3">
        <v>0.18958117067813901</v>
      </c>
      <c r="F1201" s="2"/>
      <c r="G1201" s="3">
        <v>186</v>
      </c>
      <c r="H1201" s="4">
        <v>98248614</v>
      </c>
      <c r="I1201" s="3">
        <v>0.11222</v>
      </c>
      <c r="J1201" s="3">
        <v>60.795836699907532</v>
      </c>
      <c r="K1201" s="3">
        <v>60.773591153127917</v>
      </c>
    </row>
    <row r="1202" spans="1:11" x14ac:dyDescent="0.2">
      <c r="A1202" s="2" t="s">
        <v>119</v>
      </c>
      <c r="B1202" s="2" t="s">
        <v>120</v>
      </c>
      <c r="C1202" s="3">
        <v>2012</v>
      </c>
      <c r="D1202" s="3">
        <v>6697.5562096276844</v>
      </c>
      <c r="E1202" s="3">
        <v>0.20568618178367601</v>
      </c>
      <c r="F1202" s="2"/>
      <c r="G1202" s="3">
        <v>162</v>
      </c>
      <c r="H1202" s="4">
        <v>100175512</v>
      </c>
      <c r="I1202" s="2"/>
      <c r="J1202" s="3">
        <v>57.842005513308173</v>
      </c>
      <c r="K1202" s="3">
        <v>60.953752497665732</v>
      </c>
    </row>
    <row r="1203" spans="1:11" x14ac:dyDescent="0.2">
      <c r="A1203" s="2" t="s">
        <v>119</v>
      </c>
      <c r="B1203" s="2" t="s">
        <v>120</v>
      </c>
      <c r="C1203" s="3">
        <v>2013</v>
      </c>
      <c r="D1203" s="3">
        <v>7016.5384647043584</v>
      </c>
      <c r="E1203" s="3">
        <v>0.20592896640300801</v>
      </c>
      <c r="F1203" s="2"/>
      <c r="G1203" s="3">
        <v>220</v>
      </c>
      <c r="H1203" s="4">
        <v>102076336</v>
      </c>
      <c r="I1203" s="3">
        <v>0.13206999999999999</v>
      </c>
      <c r="J1203" s="3">
        <v>55.824781232029849</v>
      </c>
      <c r="K1203" s="3">
        <v>60.982929084967317</v>
      </c>
    </row>
    <row r="1204" spans="1:11" x14ac:dyDescent="0.2">
      <c r="A1204" s="2" t="s">
        <v>119</v>
      </c>
      <c r="B1204" s="2" t="s">
        <v>120</v>
      </c>
      <c r="C1204" s="3">
        <v>2014</v>
      </c>
      <c r="D1204" s="3">
        <v>7340.3615859119946</v>
      </c>
      <c r="E1204" s="3">
        <v>0.31771445274353</v>
      </c>
      <c r="F1204" s="3">
        <v>2.6645423812996798</v>
      </c>
      <c r="G1204" s="3">
        <v>334</v>
      </c>
      <c r="H1204" s="4">
        <v>103767130</v>
      </c>
      <c r="I1204" s="2"/>
      <c r="J1204" s="3">
        <v>57.468172087594468</v>
      </c>
      <c r="K1204" s="3">
        <v>62.329449579831937</v>
      </c>
    </row>
    <row r="1205" spans="1:11" x14ac:dyDescent="0.2">
      <c r="A1205" s="2" t="s">
        <v>119</v>
      </c>
      <c r="B1205" s="2" t="s">
        <v>120</v>
      </c>
      <c r="C1205" s="3">
        <v>2015</v>
      </c>
      <c r="D1205" s="3">
        <v>7691.7630868504693</v>
      </c>
      <c r="E1205" s="3">
        <v>0.16015775501728099</v>
      </c>
      <c r="F1205" s="3">
        <v>2.8305230378520299</v>
      </c>
      <c r="G1205" s="3">
        <v>375</v>
      </c>
      <c r="H1205" s="4">
        <v>105312992</v>
      </c>
      <c r="I1205" s="3">
        <v>0.15683</v>
      </c>
      <c r="J1205" s="3">
        <v>59.141592105309407</v>
      </c>
      <c r="K1205" s="3">
        <v>63.048249673202612</v>
      </c>
    </row>
    <row r="1206" spans="1:11" x14ac:dyDescent="0.2">
      <c r="A1206" s="2" t="s">
        <v>119</v>
      </c>
      <c r="B1206" s="2" t="s">
        <v>120</v>
      </c>
      <c r="C1206" s="3">
        <v>2016</v>
      </c>
      <c r="D1206" s="3">
        <v>8131.825379486535</v>
      </c>
      <c r="E1206" s="3">
        <v>1.84973310679197E-2</v>
      </c>
      <c r="F1206" s="3">
        <v>3.3012810904244301</v>
      </c>
      <c r="G1206" s="3">
        <v>327</v>
      </c>
      <c r="H1206" s="4">
        <v>106735719</v>
      </c>
      <c r="I1206" s="2"/>
      <c r="J1206" s="3">
        <v>61.776065765387081</v>
      </c>
      <c r="K1206" s="3">
        <v>63.197941059757227</v>
      </c>
    </row>
    <row r="1207" spans="1:11" x14ac:dyDescent="0.2">
      <c r="A1207" s="2" t="s">
        <v>119</v>
      </c>
      <c r="B1207" s="2" t="s">
        <v>120</v>
      </c>
      <c r="C1207" s="3">
        <v>2017</v>
      </c>
      <c r="D1207" s="3">
        <v>8584.1362270969948</v>
      </c>
      <c r="E1207" s="3">
        <v>-3.4911114722490297E-2</v>
      </c>
      <c r="F1207" s="3">
        <v>3.9638408740391502</v>
      </c>
      <c r="G1207" s="3">
        <v>323</v>
      </c>
      <c r="H1207" s="4">
        <v>108119693</v>
      </c>
      <c r="I1207" s="2"/>
      <c r="J1207" s="3">
        <v>68.168369742672695</v>
      </c>
      <c r="K1207" s="3">
        <v>63.926871078431361</v>
      </c>
    </row>
    <row r="1208" spans="1:11" x14ac:dyDescent="0.2">
      <c r="A1208" s="2" t="s">
        <v>119</v>
      </c>
      <c r="B1208" s="2" t="s">
        <v>120</v>
      </c>
      <c r="C1208" s="3">
        <v>2018</v>
      </c>
      <c r="D1208" s="3">
        <v>9016.2865963760833</v>
      </c>
      <c r="E1208" s="3">
        <v>6.2349122017622001E-2</v>
      </c>
      <c r="F1208" s="3">
        <v>3.8550276074545602</v>
      </c>
      <c r="G1208" s="3">
        <v>529</v>
      </c>
      <c r="H1208" s="4">
        <v>109465287</v>
      </c>
      <c r="I1208" s="3">
        <v>0.32222000000000001</v>
      </c>
      <c r="J1208" s="3">
        <v>72.163398299027307</v>
      </c>
      <c r="K1208" s="3">
        <v>65.927295168067232</v>
      </c>
    </row>
    <row r="1209" spans="1:11" x14ac:dyDescent="0.2">
      <c r="A1209" s="2" t="s">
        <v>119</v>
      </c>
      <c r="B1209" s="2" t="s">
        <v>120</v>
      </c>
      <c r="C1209" s="3">
        <v>2019</v>
      </c>
      <c r="D1209" s="3">
        <v>9452.2939715980956</v>
      </c>
      <c r="E1209" s="3">
        <v>5.9953011572360999E-2</v>
      </c>
      <c r="F1209" s="3">
        <v>3.4074864914213401</v>
      </c>
      <c r="G1209" s="3">
        <v>501</v>
      </c>
      <c r="H1209" s="4">
        <v>110804683</v>
      </c>
      <c r="I1209" s="2"/>
      <c r="J1209" s="3">
        <v>68.841842259567841</v>
      </c>
      <c r="K1209" s="3">
        <v>66.589905859010258</v>
      </c>
    </row>
    <row r="1210" spans="1:11" x14ac:dyDescent="0.2">
      <c r="A1210" s="2" t="s">
        <v>119</v>
      </c>
      <c r="B1210" s="2" t="s">
        <v>120</v>
      </c>
      <c r="C1210" s="3">
        <v>2020</v>
      </c>
      <c r="D1210" s="3">
        <v>8455.1845713410639</v>
      </c>
      <c r="E1210" s="3">
        <v>6.7812383174896199E-2</v>
      </c>
      <c r="F1210" s="3">
        <v>3.8582905130806302</v>
      </c>
      <c r="G1210" s="3">
        <v>476</v>
      </c>
      <c r="H1210" s="4">
        <v>112081264</v>
      </c>
      <c r="I1210" s="2"/>
      <c r="J1210" s="3">
        <v>58.169560302228149</v>
      </c>
      <c r="K1210" s="3">
        <v>66.328901470588221</v>
      </c>
    </row>
    <row r="1211" spans="1:11" x14ac:dyDescent="0.2">
      <c r="A1211" s="2" t="s">
        <v>119</v>
      </c>
      <c r="B1211" s="2" t="s">
        <v>120</v>
      </c>
      <c r="C1211" s="3">
        <v>2021</v>
      </c>
      <c r="D1211" s="3">
        <v>8857.7899511551386</v>
      </c>
      <c r="E1211" s="3">
        <v>3.4790132194757503E-2</v>
      </c>
      <c r="F1211" s="3">
        <v>3.8724975478463302</v>
      </c>
      <c r="G1211" s="3">
        <v>490</v>
      </c>
      <c r="H1211" s="4">
        <v>113100950</v>
      </c>
      <c r="I1211" s="2"/>
      <c r="J1211" s="3">
        <v>63.484609813671163</v>
      </c>
      <c r="K1211" s="3">
        <v>66.726128127917832</v>
      </c>
    </row>
    <row r="1212" spans="1:11" x14ac:dyDescent="0.2">
      <c r="A1212" s="2" t="s">
        <v>121</v>
      </c>
      <c r="B1212" s="2" t="s">
        <v>122</v>
      </c>
      <c r="C1212" s="3">
        <v>2000</v>
      </c>
      <c r="D1212" s="3">
        <v>18566.354628877209</v>
      </c>
      <c r="E1212" s="3">
        <v>0.56872522830963101</v>
      </c>
      <c r="F1212" s="3">
        <v>4.9628100395202601</v>
      </c>
      <c r="G1212" s="3">
        <v>2404</v>
      </c>
      <c r="H1212" s="4">
        <v>38258629</v>
      </c>
      <c r="I1212" s="3">
        <v>0.64078000000000002</v>
      </c>
      <c r="J1212" s="3">
        <v>60.610720942329657</v>
      </c>
      <c r="K1212" s="3">
        <v>74.310836614855717</v>
      </c>
    </row>
    <row r="1213" spans="1:11" x14ac:dyDescent="0.2">
      <c r="A1213" s="2" t="s">
        <v>121</v>
      </c>
      <c r="B1213" s="2" t="s">
        <v>122</v>
      </c>
      <c r="C1213" s="3">
        <v>2001</v>
      </c>
      <c r="D1213" s="3">
        <v>18800.60186484021</v>
      </c>
      <c r="E1213" s="2"/>
      <c r="F1213" s="3">
        <v>5.29358005523682</v>
      </c>
      <c r="G1213" s="3">
        <v>2202</v>
      </c>
      <c r="H1213" s="4">
        <v>38248076</v>
      </c>
      <c r="I1213" s="3">
        <v>0.62158999999999998</v>
      </c>
      <c r="J1213" s="3">
        <v>57.878531271289503</v>
      </c>
      <c r="K1213" s="3">
        <v>74.594047662141776</v>
      </c>
    </row>
    <row r="1214" spans="1:11" x14ac:dyDescent="0.2">
      <c r="A1214" s="2" t="s">
        <v>121</v>
      </c>
      <c r="B1214" s="2" t="s">
        <v>122</v>
      </c>
      <c r="C1214" s="3">
        <v>2002</v>
      </c>
      <c r="D1214" s="3">
        <v>19166.913705814281</v>
      </c>
      <c r="E1214" s="3">
        <v>0.45492663979530301</v>
      </c>
      <c r="F1214" s="3">
        <v>5.3705201148986799</v>
      </c>
      <c r="G1214" s="3">
        <v>2313</v>
      </c>
      <c r="H1214" s="4">
        <v>38230364</v>
      </c>
      <c r="I1214" s="3">
        <v>0.55674999999999997</v>
      </c>
      <c r="J1214" s="3">
        <v>60.796799057391141</v>
      </c>
      <c r="K1214" s="3">
        <v>74.581646034031323</v>
      </c>
    </row>
    <row r="1215" spans="1:11" x14ac:dyDescent="0.2">
      <c r="A1215" s="2" t="s">
        <v>121</v>
      </c>
      <c r="B1215" s="2" t="s">
        <v>122</v>
      </c>
      <c r="C1215" s="3">
        <v>2003</v>
      </c>
      <c r="D1215" s="3">
        <v>19855.631798918141</v>
      </c>
      <c r="E1215" s="3">
        <v>0.50964617729187001</v>
      </c>
      <c r="F1215" s="3">
        <v>5.30664014816284</v>
      </c>
      <c r="G1215" s="3">
        <v>2268</v>
      </c>
      <c r="H1215" s="4">
        <v>38204570</v>
      </c>
      <c r="I1215" s="3">
        <v>0.53805999999999998</v>
      </c>
      <c r="J1215" s="3">
        <v>69.213447984178842</v>
      </c>
      <c r="K1215" s="3">
        <v>74.409362494205141</v>
      </c>
    </row>
    <row r="1216" spans="1:11" x14ac:dyDescent="0.2">
      <c r="A1216" s="2" t="s">
        <v>121</v>
      </c>
      <c r="B1216" s="2" t="s">
        <v>122</v>
      </c>
      <c r="C1216" s="3">
        <v>2004</v>
      </c>
      <c r="D1216" s="3">
        <v>20878.65450025344</v>
      </c>
      <c r="E1216" s="3">
        <v>0.43910402059555098</v>
      </c>
      <c r="F1216" s="3">
        <v>5.33129978179932</v>
      </c>
      <c r="G1216" s="3">
        <v>2381</v>
      </c>
      <c r="H1216" s="4">
        <v>38182222</v>
      </c>
      <c r="I1216" s="3">
        <v>0.55249999999999999</v>
      </c>
      <c r="J1216" s="3">
        <v>70.981576569416177</v>
      </c>
      <c r="K1216" s="3">
        <v>75.556433947751586</v>
      </c>
    </row>
    <row r="1217" spans="1:11" x14ac:dyDescent="0.2">
      <c r="A1217" s="2" t="s">
        <v>121</v>
      </c>
      <c r="B1217" s="2" t="s">
        <v>122</v>
      </c>
      <c r="C1217" s="3">
        <v>2005</v>
      </c>
      <c r="D1217" s="3">
        <v>21568.94765943562</v>
      </c>
      <c r="E1217" s="3">
        <v>0.44603979587554898</v>
      </c>
      <c r="F1217" s="3">
        <v>5.4106597900390598</v>
      </c>
      <c r="G1217" s="3">
        <v>2028</v>
      </c>
      <c r="H1217" s="4">
        <v>38165445</v>
      </c>
      <c r="I1217" s="3">
        <v>0.56277999999999995</v>
      </c>
      <c r="J1217" s="3">
        <v>70.311479090258359</v>
      </c>
      <c r="K1217" s="3">
        <v>75.667123162784932</v>
      </c>
    </row>
    <row r="1218" spans="1:11" x14ac:dyDescent="0.2">
      <c r="A1218" s="2" t="s">
        <v>121</v>
      </c>
      <c r="B1218" s="2" t="s">
        <v>122</v>
      </c>
      <c r="C1218" s="3">
        <v>2006</v>
      </c>
      <c r="D1218" s="3">
        <v>22921.19758876961</v>
      </c>
      <c r="E1218" s="3">
        <v>0.33213886618614202</v>
      </c>
      <c r="F1218" s="3">
        <v>5.1885099411010698</v>
      </c>
      <c r="G1218" s="3">
        <v>2157</v>
      </c>
      <c r="H1218" s="4">
        <v>38141267</v>
      </c>
      <c r="I1218" s="3">
        <v>0.55101999999999995</v>
      </c>
      <c r="J1218" s="3">
        <v>77.700803540235242</v>
      </c>
      <c r="K1218" s="3">
        <v>75.860995600151497</v>
      </c>
    </row>
    <row r="1219" spans="1:11" x14ac:dyDescent="0.2">
      <c r="A1219" s="2" t="s">
        <v>121</v>
      </c>
      <c r="B1219" s="2" t="s">
        <v>122</v>
      </c>
      <c r="C1219" s="3">
        <v>2007</v>
      </c>
      <c r="D1219" s="3">
        <v>24484.065666375562</v>
      </c>
      <c r="E1219" s="3">
        <v>0.35885134339332603</v>
      </c>
      <c r="F1219" s="3">
        <v>4.8608698844909703</v>
      </c>
      <c r="G1219" s="3">
        <v>2392</v>
      </c>
      <c r="H1219" s="4">
        <v>38120560</v>
      </c>
      <c r="I1219" s="3">
        <v>0.56193000000000004</v>
      </c>
      <c r="J1219" s="3">
        <v>80.745399056691028</v>
      </c>
      <c r="K1219" s="3">
        <v>76.609598180904072</v>
      </c>
    </row>
    <row r="1220" spans="1:11" x14ac:dyDescent="0.2">
      <c r="A1220" s="2" t="s">
        <v>121</v>
      </c>
      <c r="B1220" s="2" t="s">
        <v>122</v>
      </c>
      <c r="C1220" s="3">
        <v>2008</v>
      </c>
      <c r="D1220" s="3">
        <v>25553.90584065341</v>
      </c>
      <c r="E1220" s="3">
        <v>0.46206575632095298</v>
      </c>
      <c r="F1220" s="3">
        <v>5.0234498977661097</v>
      </c>
      <c r="G1220" s="3">
        <v>2488</v>
      </c>
      <c r="H1220" s="4">
        <v>38125759</v>
      </c>
      <c r="I1220" s="3">
        <v>0.59943999999999997</v>
      </c>
      <c r="J1220" s="3">
        <v>80.574681556920652</v>
      </c>
      <c r="K1220" s="3">
        <v>77.078179210985084</v>
      </c>
    </row>
    <row r="1221" spans="1:11" x14ac:dyDescent="0.2">
      <c r="A1221" s="2" t="s">
        <v>121</v>
      </c>
      <c r="B1221" s="2" t="s">
        <v>122</v>
      </c>
      <c r="C1221" s="3">
        <v>2009</v>
      </c>
      <c r="D1221" s="3">
        <v>26204.410367110999</v>
      </c>
      <c r="E1221" s="3">
        <v>0.51722180843353305</v>
      </c>
      <c r="F1221" s="3">
        <v>4.9766402244567898</v>
      </c>
      <c r="G1221" s="3">
        <v>2899</v>
      </c>
      <c r="H1221" s="4">
        <v>38151603</v>
      </c>
      <c r="I1221" s="3">
        <v>0.66105999999999998</v>
      </c>
      <c r="J1221" s="3">
        <v>74.968596526426907</v>
      </c>
      <c r="K1221" s="3">
        <v>77.390871183228555</v>
      </c>
    </row>
    <row r="1222" spans="1:11" x14ac:dyDescent="0.2">
      <c r="A1222" s="2" t="s">
        <v>121</v>
      </c>
      <c r="B1222" s="2" t="s">
        <v>122</v>
      </c>
      <c r="C1222" s="3">
        <v>2010</v>
      </c>
      <c r="D1222" s="3">
        <v>27112.133379738141</v>
      </c>
      <c r="E1222" s="3">
        <v>0.63012188673019398</v>
      </c>
      <c r="F1222" s="3">
        <v>5.08126020431519</v>
      </c>
      <c r="G1222" s="3">
        <v>3203</v>
      </c>
      <c r="H1222" s="4">
        <v>38042794</v>
      </c>
      <c r="I1222" s="3">
        <v>0.72619</v>
      </c>
      <c r="J1222" s="3">
        <v>82.225852321992164</v>
      </c>
      <c r="K1222" s="3">
        <v>77.414427635599694</v>
      </c>
    </row>
    <row r="1223" spans="1:11" x14ac:dyDescent="0.2">
      <c r="A1223" s="2" t="s">
        <v>121</v>
      </c>
      <c r="B1223" s="2" t="s">
        <v>122</v>
      </c>
      <c r="C1223" s="3">
        <v>2011</v>
      </c>
      <c r="D1223" s="3">
        <v>28521.6612623568</v>
      </c>
      <c r="E1223" s="3">
        <v>0.59636086225509599</v>
      </c>
      <c r="F1223" s="3">
        <v>4.8290300369262704</v>
      </c>
      <c r="G1223" s="3">
        <v>3879</v>
      </c>
      <c r="H1223" s="4">
        <v>38063255</v>
      </c>
      <c r="I1223" s="3">
        <v>0.75221000000000005</v>
      </c>
      <c r="J1223" s="3">
        <v>86.923689283761803</v>
      </c>
      <c r="K1223" s="3">
        <v>77.687725029872084</v>
      </c>
    </row>
    <row r="1224" spans="1:11" x14ac:dyDescent="0.2">
      <c r="A1224" s="2" t="s">
        <v>121</v>
      </c>
      <c r="B1224" s="2" t="s">
        <v>122</v>
      </c>
      <c r="C1224" s="3">
        <v>2012</v>
      </c>
      <c r="D1224" s="3">
        <v>28952.915730530061</v>
      </c>
      <c r="E1224" s="3">
        <v>0.65787142515182495</v>
      </c>
      <c r="F1224" s="3">
        <v>4.8331198692321804</v>
      </c>
      <c r="G1224" s="3">
        <v>4410</v>
      </c>
      <c r="H1224" s="4">
        <v>38063164</v>
      </c>
      <c r="I1224" s="3">
        <v>0.88997000000000004</v>
      </c>
      <c r="J1224" s="3">
        <v>88.829903306658323</v>
      </c>
      <c r="K1224" s="3">
        <v>78.410787019353194</v>
      </c>
    </row>
    <row r="1225" spans="1:11" x14ac:dyDescent="0.2">
      <c r="A1225" s="2" t="s">
        <v>121</v>
      </c>
      <c r="B1225" s="2" t="s">
        <v>122</v>
      </c>
      <c r="C1225" s="3">
        <v>2013</v>
      </c>
      <c r="D1225" s="3">
        <v>29168.624211074959</v>
      </c>
      <c r="E1225" s="3">
        <v>0.65924489498138406</v>
      </c>
      <c r="F1225" s="3">
        <v>4.9978098869323704</v>
      </c>
      <c r="G1225" s="3">
        <v>4237</v>
      </c>
      <c r="H1225" s="4">
        <v>38040196</v>
      </c>
      <c r="I1225" s="3">
        <v>0.88483000000000001</v>
      </c>
      <c r="J1225" s="3">
        <v>90.417507241562916</v>
      </c>
      <c r="K1225" s="3">
        <v>78.281530593589409</v>
      </c>
    </row>
    <row r="1226" spans="1:11" x14ac:dyDescent="0.2">
      <c r="A1226" s="2" t="s">
        <v>121</v>
      </c>
      <c r="B1226" s="2" t="s">
        <v>122</v>
      </c>
      <c r="C1226" s="3">
        <v>2014</v>
      </c>
      <c r="D1226" s="3">
        <v>30334.87865696185</v>
      </c>
      <c r="E1226" s="3">
        <v>0.76898372173309304</v>
      </c>
      <c r="F1226" s="3">
        <v>4.9385900497436497</v>
      </c>
      <c r="G1226" s="3">
        <v>3941</v>
      </c>
      <c r="H1226" s="4">
        <v>38011735</v>
      </c>
      <c r="I1226" s="3">
        <v>0.95076000000000005</v>
      </c>
      <c r="J1226" s="3">
        <v>92.034019711317782</v>
      </c>
      <c r="K1226" s="3">
        <v>79.230974815870397</v>
      </c>
    </row>
    <row r="1227" spans="1:11" x14ac:dyDescent="0.2">
      <c r="A1227" s="2" t="s">
        <v>121</v>
      </c>
      <c r="B1227" s="2" t="s">
        <v>122</v>
      </c>
      <c r="C1227" s="3">
        <v>2015</v>
      </c>
      <c r="D1227" s="3">
        <v>31700.368236415368</v>
      </c>
      <c r="E1227" s="3">
        <v>0.74108874797821001</v>
      </c>
      <c r="F1227" s="3">
        <v>4.7874798774719203</v>
      </c>
      <c r="G1227" s="3">
        <v>4676</v>
      </c>
      <c r="H1227" s="4">
        <v>37986412</v>
      </c>
      <c r="I1227" s="3">
        <v>1.00423</v>
      </c>
      <c r="J1227" s="3">
        <v>92.255427274194219</v>
      </c>
      <c r="K1227" s="3">
        <v>79.631884332660789</v>
      </c>
    </row>
    <row r="1228" spans="1:11" x14ac:dyDescent="0.2">
      <c r="A1228" s="2" t="s">
        <v>121</v>
      </c>
      <c r="B1228" s="2" t="s">
        <v>122</v>
      </c>
      <c r="C1228" s="3">
        <v>2016</v>
      </c>
      <c r="D1228" s="3">
        <v>32675.30522599538</v>
      </c>
      <c r="E1228" s="3">
        <v>0.65150606632232699</v>
      </c>
      <c r="F1228" s="3">
        <v>4.6272602081298801</v>
      </c>
      <c r="G1228" s="3">
        <v>4261</v>
      </c>
      <c r="H1228" s="4">
        <v>37970087</v>
      </c>
      <c r="I1228" s="3">
        <v>0.96821000000000002</v>
      </c>
      <c r="J1228" s="3">
        <v>96.865902806062294</v>
      </c>
      <c r="K1228" s="3">
        <v>80.250422134891267</v>
      </c>
    </row>
    <row r="1229" spans="1:11" x14ac:dyDescent="0.2">
      <c r="A1229" s="2" t="s">
        <v>121</v>
      </c>
      <c r="B1229" s="2" t="s">
        <v>122</v>
      </c>
      <c r="C1229" s="3">
        <v>2017</v>
      </c>
      <c r="D1229" s="3">
        <v>34354.59876163194</v>
      </c>
      <c r="E1229" s="3">
        <v>0.55077677965164196</v>
      </c>
      <c r="F1229" s="3">
        <v>4.54247999191284</v>
      </c>
      <c r="G1229" s="3">
        <v>3924</v>
      </c>
      <c r="H1229" s="4">
        <v>37974826</v>
      </c>
      <c r="I1229" s="3">
        <v>1.0378499999999999</v>
      </c>
      <c r="J1229" s="3">
        <v>100.5658952462796</v>
      </c>
      <c r="K1229" s="3">
        <v>80.494368334443323</v>
      </c>
    </row>
    <row r="1230" spans="1:11" x14ac:dyDescent="0.2">
      <c r="A1230" s="2" t="s">
        <v>121</v>
      </c>
      <c r="B1230" s="2" t="s">
        <v>122</v>
      </c>
      <c r="C1230" s="3">
        <v>2018</v>
      </c>
      <c r="D1230" s="3">
        <v>36500.411428258412</v>
      </c>
      <c r="E1230" s="3">
        <v>0.54689252376556396</v>
      </c>
      <c r="F1230" s="3">
        <v>4.5598502159118697</v>
      </c>
      <c r="G1230" s="3">
        <v>4207</v>
      </c>
      <c r="H1230" s="4">
        <v>37974750</v>
      </c>
      <c r="I1230" s="3">
        <v>1.2060999999999999</v>
      </c>
      <c r="J1230" s="3">
        <v>102.44246216800531</v>
      </c>
      <c r="K1230" s="3">
        <v>80.276496859023325</v>
      </c>
    </row>
    <row r="1231" spans="1:11" x14ac:dyDescent="0.2">
      <c r="A1231" s="2" t="s">
        <v>121</v>
      </c>
      <c r="B1231" s="2" t="s">
        <v>122</v>
      </c>
      <c r="C1231" s="3">
        <v>2019</v>
      </c>
      <c r="D1231" s="3">
        <v>38181.623033468873</v>
      </c>
      <c r="E1231" s="3">
        <v>0.51282483339309703</v>
      </c>
      <c r="F1231" s="3">
        <v>4.6273698806762704</v>
      </c>
      <c r="G1231" s="3">
        <v>3887</v>
      </c>
      <c r="H1231" s="4">
        <v>37965475</v>
      </c>
      <c r="I1231" s="3">
        <v>1.32335</v>
      </c>
      <c r="J1231" s="3">
        <v>101.581033817373</v>
      </c>
      <c r="K1231" s="3">
        <v>80.796150617356503</v>
      </c>
    </row>
    <row r="1232" spans="1:11" x14ac:dyDescent="0.2">
      <c r="A1232" s="2" t="s">
        <v>121</v>
      </c>
      <c r="B1232" s="2" t="s">
        <v>122</v>
      </c>
      <c r="C1232" s="3">
        <v>2020</v>
      </c>
      <c r="D1232" s="3">
        <v>37852.802131363867</v>
      </c>
      <c r="E1232" s="3">
        <v>0.324195116758347</v>
      </c>
      <c r="F1232" s="3">
        <v>4.80081987380981</v>
      </c>
      <c r="G1232" s="3">
        <v>4010</v>
      </c>
      <c r="H1232" s="4">
        <v>37515748</v>
      </c>
      <c r="I1232" s="3">
        <v>1.38608</v>
      </c>
      <c r="J1232" s="3">
        <v>99.259091230343614</v>
      </c>
      <c r="K1232" s="3">
        <v>81.106468737471673</v>
      </c>
    </row>
    <row r="1233" spans="1:11" x14ac:dyDescent="0.2">
      <c r="A1233" s="2" t="s">
        <v>121</v>
      </c>
      <c r="B1233" s="2" t="s">
        <v>122</v>
      </c>
      <c r="C1233" s="3">
        <v>2021</v>
      </c>
      <c r="D1233" s="3">
        <v>41059.584782968202</v>
      </c>
      <c r="E1233" s="3">
        <v>0.25430637598037698</v>
      </c>
      <c r="F1233" s="3">
        <v>4.6199898719787598</v>
      </c>
      <c r="G1233" s="3">
        <v>3377</v>
      </c>
      <c r="H1233" s="4">
        <v>36981559</v>
      </c>
      <c r="I1233" s="3">
        <v>1.4318299999999999</v>
      </c>
      <c r="J1233" s="3">
        <v>110.87428302194461</v>
      </c>
      <c r="K1233" s="3">
        <v>81.106078088578087</v>
      </c>
    </row>
    <row r="1234" spans="1:11" x14ac:dyDescent="0.2">
      <c r="A1234" s="2" t="s">
        <v>123</v>
      </c>
      <c r="B1234" s="2" t="s">
        <v>124</v>
      </c>
      <c r="C1234" s="3">
        <v>2000</v>
      </c>
      <c r="D1234" s="3">
        <v>35069.827570513007</v>
      </c>
      <c r="E1234" s="3">
        <v>0.97235023975372303</v>
      </c>
      <c r="F1234" s="3">
        <v>5.1638498306274396</v>
      </c>
      <c r="G1234" s="3">
        <v>81</v>
      </c>
      <c r="H1234" s="4">
        <v>10289898</v>
      </c>
      <c r="I1234" s="3">
        <v>0.72155999999999998</v>
      </c>
      <c r="J1234" s="3">
        <v>67.452997986324675</v>
      </c>
      <c r="K1234" s="3">
        <v>71.591409791189207</v>
      </c>
    </row>
    <row r="1235" spans="1:11" x14ac:dyDescent="0.2">
      <c r="A1235" s="2" t="s">
        <v>123</v>
      </c>
      <c r="B1235" s="2" t="s">
        <v>124</v>
      </c>
      <c r="C1235" s="3">
        <v>2001</v>
      </c>
      <c r="D1235" s="3">
        <v>35500.226680409003</v>
      </c>
      <c r="E1235" s="2"/>
      <c r="F1235" s="3">
        <v>5.3371300697326696</v>
      </c>
      <c r="G1235" s="3">
        <v>107</v>
      </c>
      <c r="H1235" s="4">
        <v>10362722</v>
      </c>
      <c r="I1235" s="3">
        <v>0.76482000000000006</v>
      </c>
      <c r="J1235" s="3">
        <v>65.091955177112169</v>
      </c>
      <c r="K1235" s="3">
        <v>71.984500511416698</v>
      </c>
    </row>
    <row r="1236" spans="1:11" x14ac:dyDescent="0.2">
      <c r="A1236" s="2" t="s">
        <v>123</v>
      </c>
      <c r="B1236" s="2" t="s">
        <v>124</v>
      </c>
      <c r="C1236" s="3">
        <v>2002</v>
      </c>
      <c r="D1236" s="3">
        <v>35578.520030899723</v>
      </c>
      <c r="E1236" s="3">
        <v>1.1523510217666599</v>
      </c>
      <c r="F1236" s="3">
        <v>5.2587199211120597</v>
      </c>
      <c r="G1236" s="3">
        <v>130</v>
      </c>
      <c r="H1236" s="4">
        <v>10419631</v>
      </c>
      <c r="I1236" s="3">
        <v>0.72182999999999997</v>
      </c>
      <c r="J1236" s="3">
        <v>62.308259416977243</v>
      </c>
      <c r="K1236" s="3">
        <v>72.032256018164844</v>
      </c>
    </row>
    <row r="1237" spans="1:11" x14ac:dyDescent="0.2">
      <c r="A1237" s="2" t="s">
        <v>123</v>
      </c>
      <c r="B1237" s="2" t="s">
        <v>124</v>
      </c>
      <c r="C1237" s="3">
        <v>2003</v>
      </c>
      <c r="D1237" s="3">
        <v>35115.379514412722</v>
      </c>
      <c r="E1237" s="3">
        <v>1.1067943572998</v>
      </c>
      <c r="F1237" s="3">
        <v>5.2815299034118697</v>
      </c>
      <c r="G1237" s="3">
        <v>125</v>
      </c>
      <c r="H1237" s="4">
        <v>10458821</v>
      </c>
      <c r="I1237" s="3">
        <v>0.69801999999999997</v>
      </c>
      <c r="J1237" s="3">
        <v>61.138947488365297</v>
      </c>
      <c r="K1237" s="3">
        <v>72.636044160088289</v>
      </c>
    </row>
    <row r="1238" spans="1:11" x14ac:dyDescent="0.2">
      <c r="A1238" s="2" t="s">
        <v>123</v>
      </c>
      <c r="B1238" s="2" t="s">
        <v>124</v>
      </c>
      <c r="C1238" s="3">
        <v>2004</v>
      </c>
      <c r="D1238" s="3">
        <v>35658.129825750337</v>
      </c>
      <c r="E1238" s="3">
        <v>1.0442801713943499</v>
      </c>
      <c r="F1238" s="3">
        <v>5.0463800430297896</v>
      </c>
      <c r="G1238" s="3">
        <v>123</v>
      </c>
      <c r="H1238" s="4">
        <v>10483861</v>
      </c>
      <c r="I1238" s="3">
        <v>0.72929999999999995</v>
      </c>
      <c r="J1238" s="3">
        <v>63.204593667027851</v>
      </c>
      <c r="K1238" s="3">
        <v>72.846060856463808</v>
      </c>
    </row>
    <row r="1239" spans="1:11" x14ac:dyDescent="0.2">
      <c r="A1239" s="2" t="s">
        <v>123</v>
      </c>
      <c r="B1239" s="2" t="s">
        <v>124</v>
      </c>
      <c r="C1239" s="3">
        <v>2005</v>
      </c>
      <c r="D1239" s="3">
        <v>35870.309274149877</v>
      </c>
      <c r="E1239" s="3">
        <v>1.0511335134506199</v>
      </c>
      <c r="F1239" s="3">
        <v>5.0739498138427699</v>
      </c>
      <c r="G1239" s="3">
        <v>158</v>
      </c>
      <c r="H1239" s="4">
        <v>10503330</v>
      </c>
      <c r="I1239" s="3">
        <v>0.75754999999999995</v>
      </c>
      <c r="J1239" s="3">
        <v>62.944504560452032</v>
      </c>
      <c r="K1239" s="3">
        <v>73.116727482811314</v>
      </c>
    </row>
    <row r="1240" spans="1:11" x14ac:dyDescent="0.2">
      <c r="A1240" s="2" t="s">
        <v>123</v>
      </c>
      <c r="B1240" s="2" t="s">
        <v>124</v>
      </c>
      <c r="C1240" s="3">
        <v>2006</v>
      </c>
      <c r="D1240" s="3">
        <v>36387.536737951938</v>
      </c>
      <c r="E1240" s="3">
        <v>0.86763077974319502</v>
      </c>
      <c r="F1240" s="3">
        <v>4.9076700210571298</v>
      </c>
      <c r="G1240" s="3">
        <v>184</v>
      </c>
      <c r="H1240" s="4">
        <v>10522288</v>
      </c>
      <c r="I1240" s="3">
        <v>0.95448</v>
      </c>
      <c r="J1240" s="3">
        <v>68.547053118200935</v>
      </c>
      <c r="K1240" s="3">
        <v>73.968188958916897</v>
      </c>
    </row>
    <row r="1241" spans="1:11" x14ac:dyDescent="0.2">
      <c r="A1241" s="2" t="s">
        <v>123</v>
      </c>
      <c r="B1241" s="2" t="s">
        <v>124</v>
      </c>
      <c r="C1241" s="3">
        <v>2007</v>
      </c>
      <c r="D1241" s="3">
        <v>37226.470262670053</v>
      </c>
      <c r="E1241" s="3">
        <v>0.89449369907379195</v>
      </c>
      <c r="F1241" s="3">
        <v>4.92147016525269</v>
      </c>
      <c r="G1241" s="3">
        <v>250</v>
      </c>
      <c r="H1241" s="4">
        <v>10542964</v>
      </c>
      <c r="I1241" s="3">
        <v>1.1241699999999999</v>
      </c>
      <c r="J1241" s="3">
        <v>69.946117581799101</v>
      </c>
      <c r="K1241" s="3">
        <v>74.506165881504117</v>
      </c>
    </row>
    <row r="1242" spans="1:11" x14ac:dyDescent="0.2">
      <c r="A1242" s="2" t="s">
        <v>123</v>
      </c>
      <c r="B1242" s="2" t="s">
        <v>124</v>
      </c>
      <c r="C1242" s="3">
        <v>2008</v>
      </c>
      <c r="D1242" s="3">
        <v>37291.504896966027</v>
      </c>
      <c r="E1242" s="3">
        <v>1.0773845911026001</v>
      </c>
      <c r="F1242" s="3">
        <v>4.6960902214050302</v>
      </c>
      <c r="G1242" s="3">
        <v>381</v>
      </c>
      <c r="H1242" s="4">
        <v>10558177</v>
      </c>
      <c r="I1242" s="3">
        <v>1.4433499999999999</v>
      </c>
      <c r="J1242" s="3">
        <v>72.07574292216043</v>
      </c>
      <c r="K1242" s="3">
        <v>75.769058812919099</v>
      </c>
    </row>
    <row r="1243" spans="1:11" x14ac:dyDescent="0.2">
      <c r="A1243" s="2" t="s">
        <v>123</v>
      </c>
      <c r="B1243" s="2" t="s">
        <v>124</v>
      </c>
      <c r="C1243" s="3">
        <v>2009</v>
      </c>
      <c r="D1243" s="3">
        <v>36092.81093146847</v>
      </c>
      <c r="E1243" s="3">
        <v>1.15220522880554</v>
      </c>
      <c r="F1243" s="3">
        <v>5.56314992904663</v>
      </c>
      <c r="G1243" s="3">
        <v>571</v>
      </c>
      <c r="H1243" s="4">
        <v>10568247</v>
      </c>
      <c r="I1243" s="3">
        <v>1.5800099999999999</v>
      </c>
      <c r="J1243" s="3">
        <v>61.492693526775938</v>
      </c>
      <c r="K1243" s="3">
        <v>76.968389037433155</v>
      </c>
    </row>
    <row r="1244" spans="1:11" x14ac:dyDescent="0.2">
      <c r="A1244" s="2" t="s">
        <v>123</v>
      </c>
      <c r="B1244" s="2" t="s">
        <v>124</v>
      </c>
      <c r="C1244" s="3">
        <v>2010</v>
      </c>
      <c r="D1244" s="3">
        <v>36703.114188282147</v>
      </c>
      <c r="E1244" s="3">
        <v>0.98147511482238803</v>
      </c>
      <c r="F1244" s="3">
        <v>5.4049801826477104</v>
      </c>
      <c r="G1244" s="3">
        <v>499</v>
      </c>
      <c r="H1244" s="4">
        <v>10573100</v>
      </c>
      <c r="I1244" s="3">
        <v>1.53529</v>
      </c>
      <c r="J1244" s="3">
        <v>67.689240192798252</v>
      </c>
      <c r="K1244" s="3">
        <v>77.07347146252441</v>
      </c>
    </row>
    <row r="1245" spans="1:11" x14ac:dyDescent="0.2">
      <c r="A1245" s="2" t="s">
        <v>123</v>
      </c>
      <c r="B1245" s="2" t="s">
        <v>124</v>
      </c>
      <c r="C1245" s="3">
        <v>2011</v>
      </c>
      <c r="D1245" s="3">
        <v>36127.294976615369</v>
      </c>
      <c r="E1245" s="3">
        <v>0.92124593257904097</v>
      </c>
      <c r="F1245" s="3">
        <v>5.1168899536132804</v>
      </c>
      <c r="G1245" s="3">
        <v>571</v>
      </c>
      <c r="H1245" s="4">
        <v>10557560</v>
      </c>
      <c r="I1245" s="3">
        <v>1.4574100000000001</v>
      </c>
      <c r="J1245" s="3">
        <v>73.007575670053114</v>
      </c>
      <c r="K1245" s="3">
        <v>77.479903870639163</v>
      </c>
    </row>
    <row r="1246" spans="1:11" x14ac:dyDescent="0.2">
      <c r="A1246" s="2" t="s">
        <v>123</v>
      </c>
      <c r="B1246" s="2" t="s">
        <v>124</v>
      </c>
      <c r="C1246" s="3">
        <v>2012</v>
      </c>
      <c r="D1246" s="3">
        <v>34804.633334048107</v>
      </c>
      <c r="E1246" s="3">
        <v>1.00191485881805</v>
      </c>
      <c r="F1246" s="3">
        <v>4.9422698020935103</v>
      </c>
      <c r="G1246" s="3">
        <v>621</v>
      </c>
      <c r="H1246" s="4">
        <v>10514844</v>
      </c>
      <c r="I1246" s="3">
        <v>1.3786099999999999</v>
      </c>
      <c r="J1246" s="3">
        <v>75.941106718781299</v>
      </c>
      <c r="K1246" s="3">
        <v>77.845758509464403</v>
      </c>
    </row>
    <row r="1247" spans="1:11" x14ac:dyDescent="0.2">
      <c r="A1247" s="2" t="s">
        <v>123</v>
      </c>
      <c r="B1247" s="2" t="s">
        <v>124</v>
      </c>
      <c r="C1247" s="3">
        <v>2013</v>
      </c>
      <c r="D1247" s="3">
        <v>34651.771945505527</v>
      </c>
      <c r="E1247" s="3">
        <v>1.1942178010940601</v>
      </c>
      <c r="F1247" s="3">
        <v>5.2652997970581001</v>
      </c>
      <c r="G1247" s="3">
        <v>647</v>
      </c>
      <c r="H1247" s="4">
        <v>10457295</v>
      </c>
      <c r="I1247" s="3">
        <v>1.3246800000000001</v>
      </c>
      <c r="J1247" s="3">
        <v>78.030505687428203</v>
      </c>
      <c r="K1247" s="3">
        <v>77.908778823953824</v>
      </c>
    </row>
    <row r="1248" spans="1:11" x14ac:dyDescent="0.2">
      <c r="A1248" s="2" t="s">
        <v>123</v>
      </c>
      <c r="B1248" s="2" t="s">
        <v>124</v>
      </c>
      <c r="C1248" s="3">
        <v>2014</v>
      </c>
      <c r="D1248" s="3">
        <v>35097.409826322852</v>
      </c>
      <c r="E1248" s="3">
        <v>0.98317033052444502</v>
      </c>
      <c r="F1248" s="3">
        <v>5.1200699806213397</v>
      </c>
      <c r="G1248" s="3">
        <v>722</v>
      </c>
      <c r="H1248" s="4">
        <v>10401062</v>
      </c>
      <c r="I1248" s="3">
        <v>1.28992</v>
      </c>
      <c r="J1248" s="3">
        <v>80.220669072079005</v>
      </c>
      <c r="K1248" s="3">
        <v>78.429123238689414</v>
      </c>
    </row>
    <row r="1249" spans="1:11" x14ac:dyDescent="0.2">
      <c r="A1249" s="2" t="s">
        <v>123</v>
      </c>
      <c r="B1249" s="2" t="s">
        <v>124</v>
      </c>
      <c r="C1249" s="3">
        <v>2015</v>
      </c>
      <c r="D1249" s="3">
        <v>35803.357564976868</v>
      </c>
      <c r="E1249" s="3">
        <v>1.1579345464706401</v>
      </c>
      <c r="F1249" s="3">
        <v>4.8942699432373002</v>
      </c>
      <c r="G1249" s="3">
        <v>925</v>
      </c>
      <c r="H1249" s="4">
        <v>10358076</v>
      </c>
      <c r="I1249" s="3">
        <v>1.2433000000000001</v>
      </c>
      <c r="J1249" s="3">
        <v>80.634675626644338</v>
      </c>
      <c r="K1249" s="3">
        <v>78.812628371954844</v>
      </c>
    </row>
    <row r="1250" spans="1:11" x14ac:dyDescent="0.2">
      <c r="A1250" s="2" t="s">
        <v>123</v>
      </c>
      <c r="B1250" s="2" t="s">
        <v>124</v>
      </c>
      <c r="C1250" s="3">
        <v>2016</v>
      </c>
      <c r="D1250" s="3">
        <v>36636.297844163302</v>
      </c>
      <c r="E1250" s="3">
        <v>1.1483285427093499</v>
      </c>
      <c r="F1250" s="2"/>
      <c r="G1250" s="3">
        <v>724</v>
      </c>
      <c r="H1250" s="4">
        <v>10325452</v>
      </c>
      <c r="I1250" s="3">
        <v>1.2807500000000001</v>
      </c>
      <c r="J1250" s="3">
        <v>79.52234648440006</v>
      </c>
      <c r="K1250" s="3">
        <v>78.948395558526414</v>
      </c>
    </row>
    <row r="1251" spans="1:11" x14ac:dyDescent="0.2">
      <c r="A1251" s="2" t="s">
        <v>123</v>
      </c>
      <c r="B1251" s="2" t="s">
        <v>124</v>
      </c>
      <c r="C1251" s="3">
        <v>2017</v>
      </c>
      <c r="D1251" s="3">
        <v>37943.115050567343</v>
      </c>
      <c r="E1251" s="3">
        <v>1.2940491437912001</v>
      </c>
      <c r="F1251" s="3">
        <v>5.0268502235412598</v>
      </c>
      <c r="G1251" s="3">
        <v>644</v>
      </c>
      <c r="H1251" s="4">
        <v>10300300</v>
      </c>
      <c r="I1251" s="3">
        <v>1.31928</v>
      </c>
      <c r="J1251" s="3">
        <v>84.807792306953871</v>
      </c>
      <c r="K1251" s="3">
        <v>79.377406994312892</v>
      </c>
    </row>
    <row r="1252" spans="1:11" x14ac:dyDescent="0.2">
      <c r="A1252" s="2" t="s">
        <v>123</v>
      </c>
      <c r="B1252" s="2" t="s">
        <v>124</v>
      </c>
      <c r="C1252" s="3">
        <v>2018</v>
      </c>
      <c r="D1252" s="3">
        <v>39123.615128257123</v>
      </c>
      <c r="E1252" s="3">
        <v>1.18115174770355</v>
      </c>
      <c r="F1252" s="3">
        <v>4.6794099807739302</v>
      </c>
      <c r="G1252" s="3">
        <v>661</v>
      </c>
      <c r="H1252" s="4">
        <v>10283822</v>
      </c>
      <c r="I1252" s="3">
        <v>1.34955</v>
      </c>
      <c r="J1252" s="3">
        <v>86.735695491839934</v>
      </c>
      <c r="K1252" s="3">
        <v>79.547001061030471</v>
      </c>
    </row>
    <row r="1253" spans="1:11" x14ac:dyDescent="0.2">
      <c r="A1253" s="2" t="s">
        <v>123</v>
      </c>
      <c r="B1253" s="2" t="s">
        <v>124</v>
      </c>
      <c r="C1253" s="3">
        <v>2019</v>
      </c>
      <c r="D1253" s="3">
        <v>40188.286879921943</v>
      </c>
      <c r="E1253" s="3">
        <v>1.1341857910156199</v>
      </c>
      <c r="F1253" s="3">
        <v>4.6275300979614302</v>
      </c>
      <c r="G1253" s="3">
        <v>703</v>
      </c>
      <c r="H1253" s="4">
        <v>10286263</v>
      </c>
      <c r="I1253" s="3">
        <v>1.3956200000000001</v>
      </c>
      <c r="J1253" s="3">
        <v>86.770988908358589</v>
      </c>
      <c r="K1253" s="3">
        <v>79.929579713097368</v>
      </c>
    </row>
    <row r="1254" spans="1:11" x14ac:dyDescent="0.2">
      <c r="A1254" s="2" t="s">
        <v>123</v>
      </c>
      <c r="B1254" s="2" t="s">
        <v>124</v>
      </c>
      <c r="C1254" s="3">
        <v>2020</v>
      </c>
      <c r="D1254" s="3">
        <v>36852.228733809963</v>
      </c>
      <c r="E1254" s="3">
        <v>0.97960114479064897</v>
      </c>
      <c r="F1254" s="3">
        <v>4.8640899658203098</v>
      </c>
      <c r="G1254" s="3">
        <v>695</v>
      </c>
      <c r="H1254" s="4">
        <v>10297081</v>
      </c>
      <c r="I1254" s="3">
        <v>1.61392</v>
      </c>
      <c r="J1254" s="3">
        <v>76.508640720921505</v>
      </c>
      <c r="K1254" s="3">
        <v>80.159716435362014</v>
      </c>
    </row>
    <row r="1255" spans="1:11" x14ac:dyDescent="0.2">
      <c r="A1255" s="2" t="s">
        <v>123</v>
      </c>
      <c r="B1255" s="2" t="s">
        <v>124</v>
      </c>
      <c r="C1255" s="3">
        <v>2021</v>
      </c>
      <c r="D1255" s="3">
        <v>38657.667722342499</v>
      </c>
      <c r="E1255" s="3">
        <v>0.952431321144104</v>
      </c>
      <c r="F1255" s="3">
        <v>4.7734298706054696</v>
      </c>
      <c r="G1255" s="3">
        <v>711</v>
      </c>
      <c r="H1255" s="4">
        <v>10361831</v>
      </c>
      <c r="I1255" s="3">
        <v>1.6705099999999999</v>
      </c>
      <c r="J1255" s="3">
        <v>85.873545214897547</v>
      </c>
      <c r="K1255" s="3">
        <v>80.55832316017316</v>
      </c>
    </row>
    <row r="1256" spans="1:11" x14ac:dyDescent="0.2">
      <c r="A1256" s="2" t="s">
        <v>125</v>
      </c>
      <c r="B1256" s="2" t="s">
        <v>126</v>
      </c>
      <c r="C1256" s="3">
        <v>2000</v>
      </c>
      <c r="D1256" s="3">
        <v>14853.667965994309</v>
      </c>
      <c r="E1256" s="3">
        <v>-0.26215898990631098</v>
      </c>
      <c r="F1256" s="3">
        <v>2.86862993240356</v>
      </c>
      <c r="G1256" s="3">
        <v>1003</v>
      </c>
      <c r="H1256" s="4">
        <v>22442971</v>
      </c>
      <c r="I1256" s="3">
        <v>0.36625999999999997</v>
      </c>
      <c r="J1256" s="3">
        <v>48.521325385078597</v>
      </c>
      <c r="K1256" s="3">
        <v>68.484125676937424</v>
      </c>
    </row>
    <row r="1257" spans="1:11" x14ac:dyDescent="0.2">
      <c r="A1257" s="2" t="s">
        <v>125</v>
      </c>
      <c r="B1257" s="2" t="s">
        <v>126</v>
      </c>
      <c r="C1257" s="3">
        <v>2001</v>
      </c>
      <c r="D1257" s="3">
        <v>15848.369637163811</v>
      </c>
      <c r="E1257" s="2"/>
      <c r="F1257" s="3">
        <v>3.2662899494171098</v>
      </c>
      <c r="G1257" s="3">
        <v>1128</v>
      </c>
      <c r="H1257" s="4">
        <v>22131970</v>
      </c>
      <c r="I1257" s="3">
        <v>0.39129000000000003</v>
      </c>
      <c r="J1257" s="3">
        <v>51.928591021148051</v>
      </c>
      <c r="K1257" s="3">
        <v>69.064895845004671</v>
      </c>
    </row>
    <row r="1258" spans="1:11" x14ac:dyDescent="0.2">
      <c r="A1258" s="2" t="s">
        <v>125</v>
      </c>
      <c r="B1258" s="2" t="s">
        <v>126</v>
      </c>
      <c r="C1258" s="3">
        <v>2002</v>
      </c>
      <c r="D1258" s="3">
        <v>17061.70012404419</v>
      </c>
      <c r="E1258" s="3">
        <v>-0.19658781588077501</v>
      </c>
      <c r="F1258" s="3">
        <v>3.5041298866271999</v>
      </c>
      <c r="G1258" s="3">
        <v>1478</v>
      </c>
      <c r="H1258" s="4">
        <v>21730496</v>
      </c>
      <c r="I1258" s="3">
        <v>0.37720999999999999</v>
      </c>
      <c r="J1258" s="3">
        <v>53.710247813937613</v>
      </c>
      <c r="K1258" s="3">
        <v>69.134909617180213</v>
      </c>
    </row>
    <row r="1259" spans="1:11" x14ac:dyDescent="0.2">
      <c r="A1259" s="2" t="s">
        <v>125</v>
      </c>
      <c r="B1259" s="2" t="s">
        <v>126</v>
      </c>
      <c r="C1259" s="3">
        <v>2003</v>
      </c>
      <c r="D1259" s="3">
        <v>17587.53555289514</v>
      </c>
      <c r="E1259" s="3">
        <v>-0.28344219923019398</v>
      </c>
      <c r="F1259" s="3">
        <v>3.5439701080322301</v>
      </c>
      <c r="G1259" s="3">
        <v>881</v>
      </c>
      <c r="H1259" s="4">
        <v>21574326</v>
      </c>
      <c r="I1259" s="3">
        <v>0.39707999999999999</v>
      </c>
      <c r="J1259" s="3">
        <v>56.179527047024337</v>
      </c>
      <c r="K1259" s="3">
        <v>69.288064729225027</v>
      </c>
    </row>
    <row r="1260" spans="1:11" x14ac:dyDescent="0.2">
      <c r="A1260" s="2" t="s">
        <v>125</v>
      </c>
      <c r="B1260" s="2" t="s">
        <v>126</v>
      </c>
      <c r="C1260" s="3">
        <v>2004</v>
      </c>
      <c r="D1260" s="3">
        <v>19532.561021628349</v>
      </c>
      <c r="E1260" s="3">
        <v>-0.17491602897644001</v>
      </c>
      <c r="F1260" s="3">
        <v>3.3127300739288299</v>
      </c>
      <c r="G1260" s="3">
        <v>937</v>
      </c>
      <c r="H1260" s="4">
        <v>21451748</v>
      </c>
      <c r="I1260" s="3">
        <v>0.38941999999999999</v>
      </c>
      <c r="J1260" s="3">
        <v>60.626478666940763</v>
      </c>
      <c r="K1260" s="3">
        <v>69.913138281979457</v>
      </c>
    </row>
    <row r="1261" spans="1:11" x14ac:dyDescent="0.2">
      <c r="A1261" s="2" t="s">
        <v>125</v>
      </c>
      <c r="B1261" s="2" t="s">
        <v>126</v>
      </c>
      <c r="C1261" s="3">
        <v>2005</v>
      </c>
      <c r="D1261" s="3">
        <v>20571.01082221992</v>
      </c>
      <c r="E1261" s="3">
        <v>-0.289697855710983</v>
      </c>
      <c r="F1261" s="3">
        <v>3.5003900527954102</v>
      </c>
      <c r="G1261" s="3">
        <v>916</v>
      </c>
      <c r="H1261" s="4">
        <v>21319685</v>
      </c>
      <c r="I1261" s="3">
        <v>0.41261999999999999</v>
      </c>
      <c r="J1261" s="3">
        <v>59.360549449055448</v>
      </c>
      <c r="K1261" s="3">
        <v>69.828793370681623</v>
      </c>
    </row>
    <row r="1262" spans="1:11" x14ac:dyDescent="0.2">
      <c r="A1262" s="2" t="s">
        <v>125</v>
      </c>
      <c r="B1262" s="2" t="s">
        <v>126</v>
      </c>
      <c r="C1262" s="3">
        <v>2006</v>
      </c>
      <c r="D1262" s="3">
        <v>22354.656490284378</v>
      </c>
      <c r="E1262" s="3">
        <v>-0.189176306128502</v>
      </c>
      <c r="F1262" s="3">
        <v>4.3065099716186497</v>
      </c>
      <c r="G1262" s="3">
        <v>814</v>
      </c>
      <c r="H1262" s="4">
        <v>21193760</v>
      </c>
      <c r="I1262" s="3">
        <v>0.45682</v>
      </c>
      <c r="J1262" s="3">
        <v>61.683625926515909</v>
      </c>
      <c r="K1262" s="3">
        <v>69.79392019140991</v>
      </c>
    </row>
    <row r="1263" spans="1:11" x14ac:dyDescent="0.2">
      <c r="A1263" s="2" t="s">
        <v>125</v>
      </c>
      <c r="B1263" s="2" t="s">
        <v>126</v>
      </c>
      <c r="C1263" s="3">
        <v>2007</v>
      </c>
      <c r="D1263" s="3">
        <v>24328.494023019619</v>
      </c>
      <c r="E1263" s="3">
        <v>-0.352275401353836</v>
      </c>
      <c r="F1263" s="3">
        <v>4.1495399475097701</v>
      </c>
      <c r="G1263" s="3">
        <v>827</v>
      </c>
      <c r="H1263" s="4">
        <v>20882982</v>
      </c>
      <c r="I1263" s="3">
        <v>0.51148000000000005</v>
      </c>
      <c r="J1263" s="3">
        <v>63.505156673465798</v>
      </c>
      <c r="K1263" s="3">
        <v>71.500486554621858</v>
      </c>
    </row>
    <row r="1264" spans="1:11" x14ac:dyDescent="0.2">
      <c r="A1264" s="2" t="s">
        <v>125</v>
      </c>
      <c r="B1264" s="2" t="s">
        <v>126</v>
      </c>
      <c r="C1264" s="3">
        <v>2008</v>
      </c>
      <c r="D1264" s="3">
        <v>27039.712219533361</v>
      </c>
      <c r="E1264" s="3">
        <v>-0.35789522528648399</v>
      </c>
      <c r="F1264" s="3">
        <v>4.0972199440002397</v>
      </c>
      <c r="G1264" s="3">
        <v>995</v>
      </c>
      <c r="H1264" s="4">
        <v>20537875</v>
      </c>
      <c r="I1264" s="3">
        <v>0.55215000000000003</v>
      </c>
      <c r="J1264" s="3">
        <v>65.175200997941204</v>
      </c>
      <c r="K1264" s="3">
        <v>72.819545821662018</v>
      </c>
    </row>
    <row r="1265" spans="1:11" x14ac:dyDescent="0.2">
      <c r="A1265" s="2" t="s">
        <v>125</v>
      </c>
      <c r="B1265" s="2" t="s">
        <v>126</v>
      </c>
      <c r="C1265" s="3">
        <v>2009</v>
      </c>
      <c r="D1265" s="3">
        <v>25761.73738509063</v>
      </c>
      <c r="E1265" s="3">
        <v>-0.363970696926117</v>
      </c>
      <c r="F1265" s="3">
        <v>4.0019397735595703</v>
      </c>
      <c r="G1265" s="3">
        <v>1054</v>
      </c>
      <c r="H1265" s="4">
        <v>20367487</v>
      </c>
      <c r="I1265" s="3">
        <v>0.44395000000000001</v>
      </c>
      <c r="J1265" s="3">
        <v>58.470058366652879</v>
      </c>
      <c r="K1265" s="3">
        <v>73.942854084967323</v>
      </c>
    </row>
    <row r="1266" spans="1:11" x14ac:dyDescent="0.2">
      <c r="A1266" s="2" t="s">
        <v>125</v>
      </c>
      <c r="B1266" s="2" t="s">
        <v>126</v>
      </c>
      <c r="C1266" s="3">
        <v>2010</v>
      </c>
      <c r="D1266" s="3">
        <v>24903.007761383469</v>
      </c>
      <c r="E1266" s="3">
        <v>-0.112342447042465</v>
      </c>
      <c r="F1266" s="3">
        <v>3.4164700508117698</v>
      </c>
      <c r="G1266" s="3">
        <v>1382</v>
      </c>
      <c r="H1266" s="4">
        <v>20246871</v>
      </c>
      <c r="I1266" s="3">
        <v>0.44666</v>
      </c>
      <c r="J1266" s="3">
        <v>69.954935493271776</v>
      </c>
      <c r="K1266" s="3">
        <v>74.33782387955182</v>
      </c>
    </row>
    <row r="1267" spans="1:11" x14ac:dyDescent="0.2">
      <c r="A1267" s="2" t="s">
        <v>125</v>
      </c>
      <c r="B1267" s="2" t="s">
        <v>126</v>
      </c>
      <c r="C1267" s="3">
        <v>2011</v>
      </c>
      <c r="D1267" s="3">
        <v>26150.856070210521</v>
      </c>
      <c r="E1267" s="3">
        <v>-0.19431567192077601</v>
      </c>
      <c r="F1267" s="3">
        <v>2.9135999679565399</v>
      </c>
      <c r="G1267" s="3">
        <v>1424</v>
      </c>
      <c r="H1267" s="4">
        <v>20147528</v>
      </c>
      <c r="I1267" s="3">
        <v>0.47459000000000001</v>
      </c>
      <c r="J1267" s="3">
        <v>76.271356441628996</v>
      </c>
      <c r="K1267" s="3">
        <v>74.671347805788969</v>
      </c>
    </row>
    <row r="1268" spans="1:11" x14ac:dyDescent="0.2">
      <c r="A1268" s="2" t="s">
        <v>125</v>
      </c>
      <c r="B1268" s="2" t="s">
        <v>126</v>
      </c>
      <c r="C1268" s="3">
        <v>2012</v>
      </c>
      <c r="D1268" s="3">
        <v>26767.566653240548</v>
      </c>
      <c r="E1268" s="3">
        <v>-0.16948463022708901</v>
      </c>
      <c r="F1268" s="3">
        <v>2.8234601020813002</v>
      </c>
      <c r="G1268" s="3">
        <v>1022</v>
      </c>
      <c r="H1268" s="4">
        <v>20058035</v>
      </c>
      <c r="I1268" s="3">
        <v>0.46239999999999998</v>
      </c>
      <c r="J1268" s="3">
        <v>76.594323991367247</v>
      </c>
      <c r="K1268" s="3">
        <v>74.985336741363213</v>
      </c>
    </row>
    <row r="1269" spans="1:11" x14ac:dyDescent="0.2">
      <c r="A1269" s="2" t="s">
        <v>125</v>
      </c>
      <c r="B1269" s="2" t="s">
        <v>126</v>
      </c>
      <c r="C1269" s="3">
        <v>2013</v>
      </c>
      <c r="D1269" s="3">
        <v>26942.043613034119</v>
      </c>
      <c r="E1269" s="3">
        <v>0.13471059501171101</v>
      </c>
      <c r="F1269" s="3">
        <v>3.06785011291504</v>
      </c>
      <c r="G1269" s="3">
        <v>993</v>
      </c>
      <c r="H1269" s="4">
        <v>19983693</v>
      </c>
      <c r="I1269" s="3">
        <v>0.39023999999999998</v>
      </c>
      <c r="J1269" s="3">
        <v>81.397613174718273</v>
      </c>
      <c r="K1269" s="3">
        <v>75.189460690943037</v>
      </c>
    </row>
    <row r="1270" spans="1:11" x14ac:dyDescent="0.2">
      <c r="A1270" s="2" t="s">
        <v>125</v>
      </c>
      <c r="B1270" s="2" t="s">
        <v>126</v>
      </c>
      <c r="C1270" s="3">
        <v>2014</v>
      </c>
      <c r="D1270" s="3">
        <v>28156.247547681531</v>
      </c>
      <c r="E1270" s="3">
        <v>0.22467221319675401</v>
      </c>
      <c r="F1270" s="3">
        <v>3.12494993209839</v>
      </c>
      <c r="G1270" s="3">
        <v>952</v>
      </c>
      <c r="H1270" s="4">
        <v>19908979</v>
      </c>
      <c r="I1270" s="3">
        <v>0.38207999999999998</v>
      </c>
      <c r="J1270" s="3">
        <v>83.375142957520126</v>
      </c>
      <c r="K1270" s="3">
        <v>76.088849299719897</v>
      </c>
    </row>
    <row r="1271" spans="1:11" x14ac:dyDescent="0.2">
      <c r="A1271" s="2" t="s">
        <v>125</v>
      </c>
      <c r="B1271" s="2" t="s">
        <v>126</v>
      </c>
      <c r="C1271" s="3">
        <v>2015</v>
      </c>
      <c r="D1271" s="3">
        <v>29181.999189366321</v>
      </c>
      <c r="E1271" s="3">
        <v>9.8790459334850297E-2</v>
      </c>
      <c r="F1271" s="3">
        <v>3.1069300174713099</v>
      </c>
      <c r="G1271" s="3">
        <v>975</v>
      </c>
      <c r="H1271" s="4">
        <v>19815616</v>
      </c>
      <c r="I1271" s="3">
        <v>0.48796</v>
      </c>
      <c r="J1271" s="3">
        <v>83.520576701715498</v>
      </c>
      <c r="K1271" s="3">
        <v>76.16937789449112</v>
      </c>
    </row>
    <row r="1272" spans="1:11" x14ac:dyDescent="0.2">
      <c r="A1272" s="2" t="s">
        <v>125</v>
      </c>
      <c r="B1272" s="2" t="s">
        <v>126</v>
      </c>
      <c r="C1272" s="3">
        <v>2016</v>
      </c>
      <c r="D1272" s="3">
        <v>30189.272917288621</v>
      </c>
      <c r="E1272" s="3">
        <v>-6.8261869251728099E-2</v>
      </c>
      <c r="F1272" s="3">
        <v>3.0255401134490998</v>
      </c>
      <c r="G1272" s="3">
        <v>1005</v>
      </c>
      <c r="H1272" s="4">
        <v>19702267</v>
      </c>
      <c r="I1272" s="3">
        <v>0.48864000000000002</v>
      </c>
      <c r="J1272" s="3">
        <v>85.892528290688404</v>
      </c>
      <c r="K1272" s="3">
        <v>76.82461332866481</v>
      </c>
    </row>
    <row r="1273" spans="1:11" x14ac:dyDescent="0.2">
      <c r="A1273" s="2" t="s">
        <v>125</v>
      </c>
      <c r="B1273" s="2" t="s">
        <v>126</v>
      </c>
      <c r="C1273" s="3">
        <v>2017</v>
      </c>
      <c r="D1273" s="3">
        <v>32852.771806962657</v>
      </c>
      <c r="E1273" s="3">
        <v>-8.4791302680969197E-2</v>
      </c>
      <c r="F1273" s="3">
        <v>3.1181900501251198</v>
      </c>
      <c r="G1273" s="3">
        <v>1098</v>
      </c>
      <c r="H1273" s="4">
        <v>19588715</v>
      </c>
      <c r="I1273" s="3">
        <v>0.50692999999999999</v>
      </c>
      <c r="J1273" s="3">
        <v>87.156064566780088</v>
      </c>
      <c r="K1273" s="3">
        <v>76.716461344537805</v>
      </c>
    </row>
    <row r="1274" spans="1:11" x14ac:dyDescent="0.2">
      <c r="A1274" s="2" t="s">
        <v>125</v>
      </c>
      <c r="B1274" s="2" t="s">
        <v>126</v>
      </c>
      <c r="C1274" s="3">
        <v>2018</v>
      </c>
      <c r="D1274" s="3">
        <v>34829.040299068452</v>
      </c>
      <c r="E1274" s="3">
        <v>-0.17713832855224601</v>
      </c>
      <c r="F1274" s="3">
        <v>3.31710004806519</v>
      </c>
      <c r="G1274" s="3">
        <v>1100</v>
      </c>
      <c r="H1274" s="4">
        <v>19473970</v>
      </c>
      <c r="I1274" s="3">
        <v>0.49729000000000001</v>
      </c>
      <c r="J1274" s="3">
        <v>87.091170109580901</v>
      </c>
      <c r="K1274" s="3">
        <v>77.258761601307199</v>
      </c>
    </row>
    <row r="1275" spans="1:11" x14ac:dyDescent="0.2">
      <c r="A1275" s="2" t="s">
        <v>125</v>
      </c>
      <c r="B1275" s="2" t="s">
        <v>126</v>
      </c>
      <c r="C1275" s="3">
        <v>2019</v>
      </c>
      <c r="D1275" s="3">
        <v>36399.625556542604</v>
      </c>
      <c r="E1275" s="3">
        <v>-0.215103924274445</v>
      </c>
      <c r="F1275" s="3">
        <v>3.5576100349426301</v>
      </c>
      <c r="G1275" s="3">
        <v>881</v>
      </c>
      <c r="H1275" s="4">
        <v>19371648</v>
      </c>
      <c r="I1275" s="3">
        <v>0.47616000000000003</v>
      </c>
      <c r="J1275" s="3">
        <v>84.906363058479329</v>
      </c>
      <c r="K1275" s="3">
        <v>77.451814915966395</v>
      </c>
    </row>
    <row r="1276" spans="1:11" x14ac:dyDescent="0.2">
      <c r="A1276" s="2" t="s">
        <v>125</v>
      </c>
      <c r="B1276" s="2" t="s">
        <v>126</v>
      </c>
      <c r="C1276" s="3">
        <v>2020</v>
      </c>
      <c r="D1276" s="3">
        <v>35283.752356785233</v>
      </c>
      <c r="E1276" s="3">
        <v>-0.28694444894790599</v>
      </c>
      <c r="F1276" s="3">
        <v>3.57969999313354</v>
      </c>
      <c r="G1276" s="3">
        <v>817</v>
      </c>
      <c r="H1276" s="4">
        <v>19265250</v>
      </c>
      <c r="I1276" s="3">
        <v>0.46538000000000002</v>
      </c>
      <c r="J1276" s="3">
        <v>78.36164635627091</v>
      </c>
      <c r="K1276" s="3">
        <v>77.469998179271713</v>
      </c>
    </row>
    <row r="1277" spans="1:11" x14ac:dyDescent="0.2">
      <c r="A1277" s="2" t="s">
        <v>125</v>
      </c>
      <c r="B1277" s="2" t="s">
        <v>126</v>
      </c>
      <c r="C1277" s="3">
        <v>2021</v>
      </c>
      <c r="D1277" s="3">
        <v>37534.155917691147</v>
      </c>
      <c r="E1277" s="3">
        <v>-0.16335901618003801</v>
      </c>
      <c r="F1277" s="3">
        <v>3.3156199455261199</v>
      </c>
      <c r="G1277" s="3">
        <v>772</v>
      </c>
      <c r="H1277" s="4">
        <v>19122059</v>
      </c>
      <c r="I1277" s="3">
        <v>0.47233999999999998</v>
      </c>
      <c r="J1277" s="3">
        <v>87.071196546014491</v>
      </c>
      <c r="K1277" s="3">
        <v>77.555410224089641</v>
      </c>
    </row>
    <row r="1278" spans="1:11" x14ac:dyDescent="0.2">
      <c r="A1278" s="2" t="s">
        <v>127</v>
      </c>
      <c r="B1278" s="2" t="s">
        <v>128</v>
      </c>
      <c r="C1278" s="3">
        <v>2000</v>
      </c>
      <c r="D1278" s="3">
        <v>20104.75</v>
      </c>
      <c r="E1278" s="3">
        <v>-0.673456251621246</v>
      </c>
      <c r="F1278" s="3">
        <v>2.9397900104522701</v>
      </c>
      <c r="G1278" s="3">
        <v>23377</v>
      </c>
      <c r="H1278" s="4">
        <v>146596869</v>
      </c>
      <c r="I1278" s="3">
        <v>1.04983</v>
      </c>
      <c r="J1278" s="3">
        <v>68.093907037355478</v>
      </c>
      <c r="K1278" s="3">
        <v>68.005655467571643</v>
      </c>
    </row>
    <row r="1279" spans="1:11" x14ac:dyDescent="0.2">
      <c r="A1279" s="2" t="s">
        <v>127</v>
      </c>
      <c r="B1279" s="2" t="s">
        <v>128</v>
      </c>
      <c r="C1279" s="3">
        <v>2001</v>
      </c>
      <c r="D1279" s="3">
        <v>21219.904296875</v>
      </c>
      <c r="E1279" s="2"/>
      <c r="F1279" s="3">
        <v>3.1060199737548801</v>
      </c>
      <c r="G1279" s="3">
        <v>24777</v>
      </c>
      <c r="H1279" s="4">
        <v>145976482</v>
      </c>
      <c r="I1279" s="3">
        <v>1.1769400000000001</v>
      </c>
      <c r="J1279" s="3">
        <v>61.11085866442064</v>
      </c>
      <c r="K1279" s="3">
        <v>68.32275506895067</v>
      </c>
    </row>
    <row r="1280" spans="1:11" x14ac:dyDescent="0.2">
      <c r="A1280" s="2" t="s">
        <v>127</v>
      </c>
      <c r="B1280" s="2" t="s">
        <v>128</v>
      </c>
      <c r="C1280" s="3">
        <v>2002</v>
      </c>
      <c r="D1280" s="3">
        <v>22319.677734375</v>
      </c>
      <c r="E1280" s="3">
        <v>-0.37617972493171697</v>
      </c>
      <c r="F1280" s="3">
        <v>3.8350200653076199</v>
      </c>
      <c r="G1280" s="3">
        <v>23712</v>
      </c>
      <c r="H1280" s="4">
        <v>145306497</v>
      </c>
      <c r="I1280" s="3">
        <v>1.2465200000000001</v>
      </c>
      <c r="J1280" s="3">
        <v>59.645445731960663</v>
      </c>
      <c r="K1280" s="3">
        <v>68.685080128205144</v>
      </c>
    </row>
    <row r="1281" spans="1:11" x14ac:dyDescent="0.2">
      <c r="A1281" s="2" t="s">
        <v>127</v>
      </c>
      <c r="B1281" s="2" t="s">
        <v>128</v>
      </c>
      <c r="C1281" s="3">
        <v>2003</v>
      </c>
      <c r="D1281" s="3">
        <v>24057.927734375</v>
      </c>
      <c r="E1281" s="3">
        <v>-0.49913817644119302</v>
      </c>
      <c r="F1281" s="3">
        <v>3.6785399913787802</v>
      </c>
      <c r="G1281" s="3">
        <v>24969</v>
      </c>
      <c r="H1281" s="4">
        <v>144648618</v>
      </c>
      <c r="I1281" s="3">
        <v>1.28603</v>
      </c>
      <c r="J1281" s="3">
        <v>59.128269007601432</v>
      </c>
      <c r="K1281" s="3">
        <v>68.92257645622351</v>
      </c>
    </row>
    <row r="1282" spans="1:11" x14ac:dyDescent="0.2">
      <c r="A1282" s="2" t="s">
        <v>127</v>
      </c>
      <c r="B1282" s="2" t="s">
        <v>128</v>
      </c>
      <c r="C1282" s="3">
        <v>2004</v>
      </c>
      <c r="D1282" s="3">
        <v>25894.146484375</v>
      </c>
      <c r="E1282" s="3">
        <v>-0.48421102762222301</v>
      </c>
      <c r="F1282" s="3">
        <v>3.5478699207305899</v>
      </c>
      <c r="G1282" s="3">
        <v>22985</v>
      </c>
      <c r="H1282" s="4">
        <v>144067316</v>
      </c>
      <c r="I1282" s="3">
        <v>1.15133</v>
      </c>
      <c r="J1282" s="3">
        <v>56.581852398405537</v>
      </c>
      <c r="K1282" s="3">
        <v>69.237351538820676</v>
      </c>
    </row>
    <row r="1283" spans="1:11" x14ac:dyDescent="0.2">
      <c r="A1283" s="2" t="s">
        <v>127</v>
      </c>
      <c r="B1283" s="2" t="s">
        <v>128</v>
      </c>
      <c r="C1283" s="3">
        <v>2005</v>
      </c>
      <c r="D1283" s="3">
        <v>27656.658203125</v>
      </c>
      <c r="E1283" s="3">
        <v>-0.52623832225799605</v>
      </c>
      <c r="F1283" s="3">
        <v>3.7719299793243399</v>
      </c>
      <c r="G1283" s="3">
        <v>23644</v>
      </c>
      <c r="H1283" s="4">
        <v>143518814</v>
      </c>
      <c r="I1283" s="3">
        <v>1.0679700000000001</v>
      </c>
      <c r="J1283" s="3">
        <v>56.713248490542192</v>
      </c>
      <c r="K1283" s="3">
        <v>69.263847651368238</v>
      </c>
    </row>
    <row r="1284" spans="1:11" x14ac:dyDescent="0.2">
      <c r="A1284" s="2" t="s">
        <v>127</v>
      </c>
      <c r="B1284" s="2" t="s">
        <v>128</v>
      </c>
      <c r="C1284" s="3">
        <v>2006</v>
      </c>
      <c r="D1284" s="3">
        <v>30022.671875</v>
      </c>
      <c r="E1284" s="3">
        <v>-0.468877643346786</v>
      </c>
      <c r="F1284" s="3">
        <v>3.86626005172729</v>
      </c>
      <c r="G1284" s="3">
        <v>27884</v>
      </c>
      <c r="H1284" s="4">
        <v>143049637</v>
      </c>
      <c r="I1284" s="3">
        <v>1.07294</v>
      </c>
      <c r="J1284" s="3">
        <v>54.733401867266011</v>
      </c>
      <c r="K1284" s="3">
        <v>69.213880900308851</v>
      </c>
    </row>
    <row r="1285" spans="1:11" x14ac:dyDescent="0.2">
      <c r="A1285" s="2" t="s">
        <v>127</v>
      </c>
      <c r="B1285" s="2" t="s">
        <v>128</v>
      </c>
      <c r="C1285" s="3">
        <v>2007</v>
      </c>
      <c r="D1285" s="3">
        <v>32630.369140625</v>
      </c>
      <c r="E1285" s="3">
        <v>-0.412203580141068</v>
      </c>
      <c r="F1285" s="2"/>
      <c r="G1285" s="3">
        <v>27505</v>
      </c>
      <c r="H1285" s="4">
        <v>142805114</v>
      </c>
      <c r="I1285" s="3">
        <v>1.1161099999999999</v>
      </c>
      <c r="J1285" s="3">
        <v>51.706122745460632</v>
      </c>
      <c r="K1285" s="3">
        <v>69.420247566975519</v>
      </c>
    </row>
    <row r="1286" spans="1:11" x14ac:dyDescent="0.2">
      <c r="A1286" s="2" t="s">
        <v>127</v>
      </c>
      <c r="B1286" s="2" t="s">
        <v>128</v>
      </c>
      <c r="C1286" s="3">
        <v>2008</v>
      </c>
      <c r="D1286" s="3">
        <v>34342.2265625</v>
      </c>
      <c r="E1286" s="3">
        <v>-0.41678184270858798</v>
      </c>
      <c r="F1286" s="3">
        <v>4.1017498970031703</v>
      </c>
      <c r="G1286" s="3">
        <v>27712</v>
      </c>
      <c r="H1286" s="4">
        <v>142742366</v>
      </c>
      <c r="I1286" s="3">
        <v>1.0443499999999999</v>
      </c>
      <c r="J1286" s="3">
        <v>53.382466040890833</v>
      </c>
      <c r="K1286" s="3">
        <v>69.655675705666894</v>
      </c>
    </row>
    <row r="1287" spans="1:11" x14ac:dyDescent="0.2">
      <c r="A1287" s="2" t="s">
        <v>127</v>
      </c>
      <c r="B1287" s="2" t="s">
        <v>128</v>
      </c>
      <c r="C1287" s="3">
        <v>2009</v>
      </c>
      <c r="D1287" s="3">
        <v>31654.00390625</v>
      </c>
      <c r="E1287" s="3">
        <v>-0.49723601341247597</v>
      </c>
      <c r="F1287" s="2"/>
      <c r="G1287" s="3">
        <v>25598</v>
      </c>
      <c r="H1287" s="4">
        <v>142785348</v>
      </c>
      <c r="I1287" s="3">
        <v>1.2519199999999999</v>
      </c>
      <c r="J1287" s="3">
        <v>48.435061027818072</v>
      </c>
      <c r="K1287" s="3">
        <v>70.163273874165043</v>
      </c>
    </row>
    <row r="1288" spans="1:11" x14ac:dyDescent="0.2">
      <c r="A1288" s="2" t="s">
        <v>127</v>
      </c>
      <c r="B1288" s="2" t="s">
        <v>128</v>
      </c>
      <c r="C1288" s="3">
        <v>2010</v>
      </c>
      <c r="D1288" s="3">
        <v>33063.5859375</v>
      </c>
      <c r="E1288" s="3">
        <v>-0.60168689489364602</v>
      </c>
      <c r="F1288" s="3">
        <v>4.0897423052682402</v>
      </c>
      <c r="G1288" s="3">
        <v>28722</v>
      </c>
      <c r="H1288" s="4">
        <v>142849468</v>
      </c>
      <c r="I1288" s="3">
        <v>1.1302000000000001</v>
      </c>
      <c r="J1288" s="3">
        <v>50.355505487258903</v>
      </c>
      <c r="K1288" s="3">
        <v>69.892471004812194</v>
      </c>
    </row>
    <row r="1289" spans="1:11" x14ac:dyDescent="0.2">
      <c r="A1289" s="2" t="s">
        <v>127</v>
      </c>
      <c r="B1289" s="2" t="s">
        <v>128</v>
      </c>
      <c r="C1289" s="3">
        <v>2011</v>
      </c>
      <c r="D1289" s="3">
        <v>34444.64453125</v>
      </c>
      <c r="E1289" s="3">
        <v>-0.60144466161727905</v>
      </c>
      <c r="F1289" s="3">
        <v>3.7126127025318598</v>
      </c>
      <c r="G1289" s="3">
        <v>26495</v>
      </c>
      <c r="H1289" s="4">
        <v>143018195</v>
      </c>
      <c r="I1289" s="3">
        <v>1.01545</v>
      </c>
      <c r="J1289" s="3">
        <v>48.035399407791857</v>
      </c>
      <c r="K1289" s="3">
        <v>70.400746098182864</v>
      </c>
    </row>
    <row r="1290" spans="1:11" x14ac:dyDescent="0.2">
      <c r="A1290" s="2" t="s">
        <v>127</v>
      </c>
      <c r="B1290" s="2" t="s">
        <v>128</v>
      </c>
      <c r="C1290" s="3">
        <v>2012</v>
      </c>
      <c r="D1290" s="3">
        <v>35740.69921875</v>
      </c>
      <c r="E1290" s="3">
        <v>-0.53491461277008101</v>
      </c>
      <c r="F1290" s="3">
        <v>3.7931001186370801</v>
      </c>
      <c r="G1290" s="3">
        <v>28701</v>
      </c>
      <c r="H1290" s="4">
        <v>143378447</v>
      </c>
      <c r="I1290" s="3">
        <v>1.02766</v>
      </c>
      <c r="J1290" s="3">
        <v>47.151390385795708</v>
      </c>
      <c r="K1290" s="3">
        <v>70.612318097751924</v>
      </c>
    </row>
    <row r="1291" spans="1:11" x14ac:dyDescent="0.2">
      <c r="A1291" s="2" t="s">
        <v>127</v>
      </c>
      <c r="B1291" s="2" t="s">
        <v>128</v>
      </c>
      <c r="C1291" s="3">
        <v>2013</v>
      </c>
      <c r="D1291" s="3">
        <v>36260.06640625</v>
      </c>
      <c r="E1291" s="3">
        <v>-0.452954411506653</v>
      </c>
      <c r="F1291" s="3">
        <v>3.7638299465179399</v>
      </c>
      <c r="G1291" s="3">
        <v>28765</v>
      </c>
      <c r="H1291" s="4">
        <v>143805638</v>
      </c>
      <c r="I1291" s="3">
        <v>1.02732</v>
      </c>
      <c r="J1291" s="3">
        <v>46.287149400498997</v>
      </c>
      <c r="K1291" s="3">
        <v>71.046980758457238</v>
      </c>
    </row>
    <row r="1292" spans="1:11" x14ac:dyDescent="0.2">
      <c r="A1292" s="2" t="s">
        <v>127</v>
      </c>
      <c r="B1292" s="2" t="s">
        <v>128</v>
      </c>
      <c r="C1292" s="3">
        <v>2014</v>
      </c>
      <c r="D1292" s="3">
        <v>35853.24609375</v>
      </c>
      <c r="E1292" s="3">
        <v>-0.195760622620583</v>
      </c>
      <c r="F1292" s="3">
        <v>4.0138797760009801</v>
      </c>
      <c r="G1292" s="3">
        <v>24072</v>
      </c>
      <c r="H1292" s="4">
        <v>144237223</v>
      </c>
      <c r="I1292" s="3">
        <v>1.0724100000000001</v>
      </c>
      <c r="J1292" s="3">
        <v>47.80134126281159</v>
      </c>
      <c r="K1292" s="3">
        <v>71.707003406234293</v>
      </c>
    </row>
    <row r="1293" spans="1:11" x14ac:dyDescent="0.2">
      <c r="A1293" s="2" t="s">
        <v>127</v>
      </c>
      <c r="B1293" s="2" t="s">
        <v>128</v>
      </c>
      <c r="C1293" s="3">
        <v>2015</v>
      </c>
      <c r="D1293" s="3">
        <v>35037.15234375</v>
      </c>
      <c r="E1293" s="3">
        <v>-0.33207884430885298</v>
      </c>
      <c r="F1293" s="3">
        <v>3.8340299129486102</v>
      </c>
      <c r="G1293" s="3">
        <v>29269</v>
      </c>
      <c r="H1293" s="4">
        <v>144640716</v>
      </c>
      <c r="I1293" s="3">
        <v>1.1008500000000001</v>
      </c>
      <c r="J1293" s="3">
        <v>49.359349311688653</v>
      </c>
      <c r="K1293" s="3">
        <v>72.407408521870281</v>
      </c>
    </row>
    <row r="1294" spans="1:11" x14ac:dyDescent="0.2">
      <c r="A1294" s="2" t="s">
        <v>127</v>
      </c>
      <c r="B1294" s="2" t="s">
        <v>128</v>
      </c>
      <c r="C1294" s="3">
        <v>2016</v>
      </c>
      <c r="D1294" s="3">
        <v>35005.44921875</v>
      </c>
      <c r="E1294" s="3">
        <v>-0.32410576939582803</v>
      </c>
      <c r="F1294" s="3">
        <v>3.7604401111602801</v>
      </c>
      <c r="G1294" s="3">
        <v>26795</v>
      </c>
      <c r="H1294" s="4">
        <v>145015460</v>
      </c>
      <c r="I1294" s="3">
        <v>1.1023799999999999</v>
      </c>
      <c r="J1294" s="3">
        <v>46.518119839609597</v>
      </c>
      <c r="K1294" s="3">
        <v>72.62666191553545</v>
      </c>
    </row>
    <row r="1295" spans="1:11" x14ac:dyDescent="0.2">
      <c r="A1295" s="2" t="s">
        <v>127</v>
      </c>
      <c r="B1295" s="2" t="s">
        <v>128</v>
      </c>
      <c r="C1295" s="3">
        <v>2017</v>
      </c>
      <c r="D1295" s="3">
        <v>35570.390625</v>
      </c>
      <c r="E1295" s="3">
        <v>-0.191041514277458</v>
      </c>
      <c r="F1295" s="3">
        <v>4.6899099349975604</v>
      </c>
      <c r="G1295" s="3">
        <v>22777</v>
      </c>
      <c r="H1295" s="4">
        <v>145293260</v>
      </c>
      <c r="I1295" s="3">
        <v>1.1096699999999999</v>
      </c>
      <c r="J1295" s="3">
        <v>46.876524337131109</v>
      </c>
      <c r="K1295" s="3">
        <v>73.317206945342235</v>
      </c>
    </row>
    <row r="1296" spans="1:11" x14ac:dyDescent="0.2">
      <c r="A1296" s="2" t="s">
        <v>127</v>
      </c>
      <c r="B1296" s="2" t="s">
        <v>128</v>
      </c>
      <c r="C1296" s="3">
        <v>2018</v>
      </c>
      <c r="D1296" s="3">
        <v>36536.6953125</v>
      </c>
      <c r="E1296" s="3">
        <v>-0.103785149753094</v>
      </c>
      <c r="F1296" s="3">
        <v>4.6781997680664098</v>
      </c>
      <c r="G1296" s="3">
        <v>24926</v>
      </c>
      <c r="H1296" s="4">
        <v>145398106</v>
      </c>
      <c r="I1296" s="3">
        <v>0.99002000000000001</v>
      </c>
      <c r="J1296" s="3">
        <v>51.5809003703964</v>
      </c>
      <c r="K1296" s="3">
        <v>73.554472310206123</v>
      </c>
    </row>
    <row r="1297" spans="1:11" x14ac:dyDescent="0.2">
      <c r="A1297" s="2" t="s">
        <v>127</v>
      </c>
      <c r="B1297" s="2" t="s">
        <v>128</v>
      </c>
      <c r="C1297" s="3">
        <v>2019</v>
      </c>
      <c r="D1297" s="3">
        <v>37319.3203125</v>
      </c>
      <c r="E1297" s="3">
        <v>2.4173676967620801E-2</v>
      </c>
      <c r="F1297" s="3">
        <v>3.6956142919833601</v>
      </c>
      <c r="G1297" s="3">
        <v>23337</v>
      </c>
      <c r="H1297" s="4">
        <v>145453291</v>
      </c>
      <c r="I1297" s="3">
        <v>1.03531</v>
      </c>
      <c r="J1297" s="3">
        <v>49.22875366190334</v>
      </c>
      <c r="K1297" s="3">
        <v>73.788715706025997</v>
      </c>
    </row>
    <row r="1298" spans="1:11" x14ac:dyDescent="0.2">
      <c r="A1298" s="2" t="s">
        <v>127</v>
      </c>
      <c r="B1298" s="2" t="s">
        <v>128</v>
      </c>
      <c r="C1298" s="3">
        <v>2020</v>
      </c>
      <c r="D1298" s="3">
        <v>36376.3359375</v>
      </c>
      <c r="E1298" s="3">
        <v>-0.111088737845421</v>
      </c>
      <c r="F1298" s="3">
        <v>4.0164186438363698</v>
      </c>
      <c r="G1298" s="3">
        <v>23759</v>
      </c>
      <c r="H1298" s="4">
        <v>145245148</v>
      </c>
      <c r="I1298" s="3">
        <v>1.0909899999999999</v>
      </c>
      <c r="J1298" s="3">
        <v>45.966908202912727</v>
      </c>
      <c r="K1298" s="3">
        <v>74.766412969546806</v>
      </c>
    </row>
    <row r="1299" spans="1:11" x14ac:dyDescent="0.2">
      <c r="A1299" s="2" t="s">
        <v>127</v>
      </c>
      <c r="B1299" s="2" t="s">
        <v>128</v>
      </c>
      <c r="C1299" s="3">
        <v>2021</v>
      </c>
      <c r="D1299" s="3">
        <v>38638.4296875</v>
      </c>
      <c r="E1299" s="3">
        <v>-0.210440874099731</v>
      </c>
      <c r="F1299" s="3">
        <v>3.9948069786477398</v>
      </c>
      <c r="G1299" s="3">
        <v>19569</v>
      </c>
      <c r="H1299" s="4">
        <v>144746762</v>
      </c>
      <c r="I1299" s="3">
        <v>0.95857000000000003</v>
      </c>
      <c r="J1299" s="3">
        <v>50.586195462175183</v>
      </c>
      <c r="K1299" s="3">
        <v>74.343976438267617</v>
      </c>
    </row>
    <row r="1300" spans="1:11" x14ac:dyDescent="0.2">
      <c r="A1300" s="2" t="s">
        <v>129</v>
      </c>
      <c r="B1300" s="2" t="s">
        <v>130</v>
      </c>
      <c r="C1300" s="3">
        <v>2000</v>
      </c>
      <c r="D1300" s="3">
        <v>11105.994880054681</v>
      </c>
      <c r="E1300" s="3">
        <v>-0.83401602506637595</v>
      </c>
      <c r="F1300" s="2"/>
      <c r="G1300" s="2"/>
      <c r="H1300" s="4">
        <v>7516346</v>
      </c>
      <c r="I1300" s="3">
        <v>0.85424</v>
      </c>
      <c r="J1300" s="3">
        <v>21.109043880746022</v>
      </c>
      <c r="K1300" s="3">
        <v>71.544271176046166</v>
      </c>
    </row>
    <row r="1301" spans="1:11" x14ac:dyDescent="0.2">
      <c r="A1301" s="2" t="s">
        <v>129</v>
      </c>
      <c r="B1301" s="2" t="s">
        <v>130</v>
      </c>
      <c r="C1301" s="3">
        <v>2001</v>
      </c>
      <c r="D1301" s="3">
        <v>11879.22565386403</v>
      </c>
      <c r="E1301" s="2"/>
      <c r="F1301" s="2"/>
      <c r="G1301" s="2"/>
      <c r="H1301" s="4">
        <v>7503433</v>
      </c>
      <c r="I1301" s="3">
        <v>0.30401</v>
      </c>
      <c r="J1301" s="3">
        <v>53.895078617848533</v>
      </c>
      <c r="K1301" s="3">
        <v>71.352855095598841</v>
      </c>
    </row>
    <row r="1302" spans="1:11" x14ac:dyDescent="0.2">
      <c r="A1302" s="2" t="s">
        <v>129</v>
      </c>
      <c r="B1302" s="2" t="s">
        <v>130</v>
      </c>
      <c r="C1302" s="3">
        <v>2002</v>
      </c>
      <c r="D1302" s="3">
        <v>12661.992120541079</v>
      </c>
      <c r="E1302" s="3">
        <v>-0.55494564771652199</v>
      </c>
      <c r="F1302" s="2"/>
      <c r="G1302" s="2"/>
      <c r="H1302" s="4">
        <v>7500031</v>
      </c>
      <c r="I1302" s="3">
        <v>0.63968000000000003</v>
      </c>
      <c r="J1302" s="3">
        <v>54.302882889577027</v>
      </c>
      <c r="K1302" s="3">
        <v>71.433242710588019</v>
      </c>
    </row>
    <row r="1303" spans="1:11" x14ac:dyDescent="0.2">
      <c r="A1303" s="2" t="s">
        <v>129</v>
      </c>
      <c r="B1303" s="2" t="s">
        <v>130</v>
      </c>
      <c r="C1303" s="3">
        <v>2003</v>
      </c>
      <c r="D1303" s="3">
        <v>13273.74511156776</v>
      </c>
      <c r="E1303" s="3">
        <v>-0.66549509763717696</v>
      </c>
      <c r="F1303" s="2"/>
      <c r="G1303" s="2"/>
      <c r="H1303" s="4">
        <v>7480591</v>
      </c>
      <c r="I1303" s="3">
        <v>0.49137999999999998</v>
      </c>
      <c r="J1303" s="3">
        <v>58.294672022219103</v>
      </c>
      <c r="K1303" s="3">
        <v>71.201010495580803</v>
      </c>
    </row>
    <row r="1304" spans="1:11" x14ac:dyDescent="0.2">
      <c r="A1304" s="2" t="s">
        <v>129</v>
      </c>
      <c r="B1304" s="2" t="s">
        <v>130</v>
      </c>
      <c r="C1304" s="3">
        <v>2004</v>
      </c>
      <c r="D1304" s="3">
        <v>14194.423995763849</v>
      </c>
      <c r="E1304" s="3">
        <v>-0.25116753578186002</v>
      </c>
      <c r="F1304" s="2"/>
      <c r="G1304" s="3">
        <v>473</v>
      </c>
      <c r="H1304" s="4">
        <v>7463157</v>
      </c>
      <c r="I1304" s="3">
        <v>0.28953000000000001</v>
      </c>
      <c r="J1304" s="3">
        <v>72.287616245564948</v>
      </c>
      <c r="K1304" s="3">
        <v>70.85951023178211</v>
      </c>
    </row>
    <row r="1305" spans="1:11" x14ac:dyDescent="0.2">
      <c r="A1305" s="2" t="s">
        <v>129</v>
      </c>
      <c r="B1305" s="2" t="s">
        <v>130</v>
      </c>
      <c r="C1305" s="3">
        <v>2005</v>
      </c>
      <c r="D1305" s="3">
        <v>15077.62117282801</v>
      </c>
      <c r="E1305" s="3">
        <v>-0.360925853252411</v>
      </c>
      <c r="F1305" s="2"/>
      <c r="G1305" s="3">
        <v>372</v>
      </c>
      <c r="H1305" s="4">
        <v>7440769</v>
      </c>
      <c r="I1305" s="3">
        <v>0.39529999999999998</v>
      </c>
      <c r="J1305" s="3">
        <v>71.992548852001704</v>
      </c>
      <c r="K1305" s="3">
        <v>71.227244942730877</v>
      </c>
    </row>
    <row r="1306" spans="1:11" x14ac:dyDescent="0.2">
      <c r="A1306" s="2" t="s">
        <v>129</v>
      </c>
      <c r="B1306" s="2" t="s">
        <v>130</v>
      </c>
      <c r="C1306" s="3">
        <v>2006</v>
      </c>
      <c r="D1306" s="3">
        <v>15727.468589841959</v>
      </c>
      <c r="E1306" s="3">
        <v>-0.23850288987159701</v>
      </c>
      <c r="F1306" s="2"/>
      <c r="G1306" s="3">
        <v>432</v>
      </c>
      <c r="H1306" s="4">
        <v>7411569</v>
      </c>
      <c r="I1306" s="3">
        <v>0.43985000000000002</v>
      </c>
      <c r="J1306" s="3">
        <v>75.529235364472001</v>
      </c>
      <c r="K1306" s="3">
        <v>71.270910576749628</v>
      </c>
    </row>
    <row r="1307" spans="1:11" x14ac:dyDescent="0.2">
      <c r="A1307" s="2" t="s">
        <v>129</v>
      </c>
      <c r="B1307" s="2" t="s">
        <v>130</v>
      </c>
      <c r="C1307" s="3">
        <v>2007</v>
      </c>
      <c r="D1307" s="3">
        <v>17028.157313984801</v>
      </c>
      <c r="E1307" s="3">
        <v>-0.255289196968079</v>
      </c>
      <c r="F1307" s="3">
        <v>4.0487999916076696</v>
      </c>
      <c r="G1307" s="3">
        <v>395</v>
      </c>
      <c r="H1307" s="4">
        <v>7381579</v>
      </c>
      <c r="I1307" s="3">
        <v>0.57877000000000001</v>
      </c>
      <c r="J1307" s="3">
        <v>72.716587577153433</v>
      </c>
      <c r="K1307" s="3">
        <v>71.31243663645381</v>
      </c>
    </row>
    <row r="1308" spans="1:11" x14ac:dyDescent="0.2">
      <c r="A1308" s="2" t="s">
        <v>129</v>
      </c>
      <c r="B1308" s="2" t="s">
        <v>130</v>
      </c>
      <c r="C1308" s="3">
        <v>2008</v>
      </c>
      <c r="D1308" s="3">
        <v>17983.355762158539</v>
      </c>
      <c r="E1308" s="3">
        <v>-0.249734953045845</v>
      </c>
      <c r="F1308" s="2"/>
      <c r="G1308" s="3">
        <v>386</v>
      </c>
      <c r="H1308" s="4">
        <v>7350222</v>
      </c>
      <c r="I1308" s="3">
        <v>0.66966000000000003</v>
      </c>
      <c r="J1308" s="3">
        <v>75.743246286883874</v>
      </c>
      <c r="K1308" s="3">
        <v>71.758635696248191</v>
      </c>
    </row>
    <row r="1309" spans="1:11" x14ac:dyDescent="0.2">
      <c r="A1309" s="2" t="s">
        <v>129</v>
      </c>
      <c r="B1309" s="2" t="s">
        <v>130</v>
      </c>
      <c r="C1309" s="3">
        <v>2009</v>
      </c>
      <c r="D1309" s="3">
        <v>17488.195247327101</v>
      </c>
      <c r="E1309" s="3">
        <v>-7.0201635360717801E-2</v>
      </c>
      <c r="F1309" s="3">
        <v>4.3127498626709002</v>
      </c>
      <c r="G1309" s="3">
        <v>319</v>
      </c>
      <c r="H1309" s="4">
        <v>7320807</v>
      </c>
      <c r="I1309" s="3">
        <v>0.81730000000000003</v>
      </c>
      <c r="J1309" s="3">
        <v>63.501722615754083</v>
      </c>
      <c r="K1309" s="3">
        <v>72.180915243957429</v>
      </c>
    </row>
    <row r="1310" spans="1:11" x14ac:dyDescent="0.2">
      <c r="A1310" s="2" t="s">
        <v>129</v>
      </c>
      <c r="B1310" s="2" t="s">
        <v>130</v>
      </c>
      <c r="C1310" s="3">
        <v>2010</v>
      </c>
      <c r="D1310" s="3">
        <v>17841.50524823981</v>
      </c>
      <c r="E1310" s="3">
        <v>-7.6083637773990603E-2</v>
      </c>
      <c r="F1310" s="2"/>
      <c r="G1310" s="3">
        <v>290</v>
      </c>
      <c r="H1310" s="4">
        <v>7291436</v>
      </c>
      <c r="I1310" s="3">
        <v>0.70228000000000002</v>
      </c>
      <c r="J1310" s="3">
        <v>73.708861586529508</v>
      </c>
      <c r="K1310" s="3">
        <v>71.95845395472584</v>
      </c>
    </row>
    <row r="1311" spans="1:11" x14ac:dyDescent="0.2">
      <c r="A1311" s="2" t="s">
        <v>129</v>
      </c>
      <c r="B1311" s="2" t="s">
        <v>130</v>
      </c>
      <c r="C1311" s="3">
        <v>2011</v>
      </c>
      <c r="D1311" s="3">
        <v>17986.658618639762</v>
      </c>
      <c r="E1311" s="3">
        <v>-0.13248197734355899</v>
      </c>
      <c r="F1311" s="3">
        <v>4.0735502243042001</v>
      </c>
      <c r="G1311" s="3">
        <v>180</v>
      </c>
      <c r="H1311" s="4">
        <v>7236519</v>
      </c>
      <c r="I1311" s="3">
        <v>0.68333999999999995</v>
      </c>
      <c r="J1311" s="3">
        <v>75.749361306952267</v>
      </c>
      <c r="K1311" s="3">
        <v>72.833825038329721</v>
      </c>
    </row>
    <row r="1312" spans="1:11" x14ac:dyDescent="0.2">
      <c r="A1312" s="2" t="s">
        <v>129</v>
      </c>
      <c r="B1312" s="2" t="s">
        <v>130</v>
      </c>
      <c r="C1312" s="3">
        <v>2012</v>
      </c>
      <c r="D1312" s="3">
        <v>17993.889337270801</v>
      </c>
      <c r="E1312" s="3">
        <v>-0.173352405428886</v>
      </c>
      <c r="F1312" s="2"/>
      <c r="G1312" s="3">
        <v>192</v>
      </c>
      <c r="H1312" s="4">
        <v>7201497</v>
      </c>
      <c r="I1312" s="3">
        <v>0.85316000000000003</v>
      </c>
      <c r="J1312" s="3">
        <v>82.076681434825389</v>
      </c>
      <c r="K1312" s="3">
        <v>73.284873088023076</v>
      </c>
    </row>
    <row r="1313" spans="1:11" x14ac:dyDescent="0.2">
      <c r="A1313" s="2" t="s">
        <v>129</v>
      </c>
      <c r="B1313" s="2" t="s">
        <v>130</v>
      </c>
      <c r="C1313" s="3">
        <v>2013</v>
      </c>
      <c r="D1313" s="3">
        <v>18163.280055755738</v>
      </c>
      <c r="E1313" s="3">
        <v>-0.17909081280231501</v>
      </c>
      <c r="F1313" s="2"/>
      <c r="G1313" s="3">
        <v>201</v>
      </c>
      <c r="H1313" s="4">
        <v>7166553</v>
      </c>
      <c r="I1313" s="3">
        <v>0.68367</v>
      </c>
      <c r="J1313" s="3">
        <v>84.332256376663821</v>
      </c>
      <c r="K1313" s="3">
        <v>74.319983962391774</v>
      </c>
    </row>
    <row r="1314" spans="1:11" x14ac:dyDescent="0.2">
      <c r="A1314" s="2" t="s">
        <v>129</v>
      </c>
      <c r="B1314" s="2" t="s">
        <v>130</v>
      </c>
      <c r="C1314" s="3">
        <v>2014</v>
      </c>
      <c r="D1314" s="3">
        <v>17922.51009283898</v>
      </c>
      <c r="E1314" s="3">
        <v>1.6253917710855601E-3</v>
      </c>
      <c r="F1314" s="2"/>
      <c r="G1314" s="3">
        <v>202</v>
      </c>
      <c r="H1314" s="4">
        <v>7131787</v>
      </c>
      <c r="I1314" s="3">
        <v>0.72309000000000001</v>
      </c>
      <c r="J1314" s="3">
        <v>88.381502327044558</v>
      </c>
      <c r="K1314" s="3">
        <v>75.181513025342724</v>
      </c>
    </row>
    <row r="1315" spans="1:11" x14ac:dyDescent="0.2">
      <c r="A1315" s="2" t="s">
        <v>129</v>
      </c>
      <c r="B1315" s="2" t="s">
        <v>130</v>
      </c>
      <c r="C1315" s="3">
        <v>2015</v>
      </c>
      <c r="D1315" s="3">
        <v>18247.88477938198</v>
      </c>
      <c r="E1315" s="3">
        <v>-2.6127484161406799E-3</v>
      </c>
      <c r="F1315" s="2"/>
      <c r="G1315" s="3">
        <v>178</v>
      </c>
      <c r="H1315" s="4">
        <v>7095383</v>
      </c>
      <c r="I1315" s="3">
        <v>0.81089999999999995</v>
      </c>
      <c r="J1315" s="3">
        <v>93.528147766323713</v>
      </c>
      <c r="K1315" s="3">
        <v>75.19795641459234</v>
      </c>
    </row>
    <row r="1316" spans="1:11" x14ac:dyDescent="0.2">
      <c r="A1316" s="2" t="s">
        <v>129</v>
      </c>
      <c r="B1316" s="2" t="s">
        <v>130</v>
      </c>
      <c r="C1316" s="3">
        <v>2016</v>
      </c>
      <c r="D1316" s="3">
        <v>18889.459975738479</v>
      </c>
      <c r="E1316" s="3">
        <v>-3.8609247654676403E-2</v>
      </c>
      <c r="F1316" s="3">
        <v>3.5027499198913601</v>
      </c>
      <c r="G1316" s="3">
        <v>192</v>
      </c>
      <c r="H1316" s="4">
        <v>7058322</v>
      </c>
      <c r="I1316" s="3">
        <v>0.83821999999999997</v>
      </c>
      <c r="J1316" s="3">
        <v>97.690694043180386</v>
      </c>
      <c r="K1316" s="3">
        <v>75.914361909271292</v>
      </c>
    </row>
    <row r="1317" spans="1:11" x14ac:dyDescent="0.2">
      <c r="A1317" s="2" t="s">
        <v>129</v>
      </c>
      <c r="B1317" s="2" t="s">
        <v>130</v>
      </c>
      <c r="C1317" s="3">
        <v>2017</v>
      </c>
      <c r="D1317" s="3">
        <v>19439.072326391859</v>
      </c>
      <c r="E1317" s="3">
        <v>7.3255531489849104E-2</v>
      </c>
      <c r="F1317" s="3">
        <v>3.56539011001587</v>
      </c>
      <c r="G1317" s="3">
        <v>171</v>
      </c>
      <c r="H1317" s="4">
        <v>7020858</v>
      </c>
      <c r="I1317" s="3">
        <v>0.87238000000000004</v>
      </c>
      <c r="J1317" s="3">
        <v>102.74044516693429</v>
      </c>
      <c r="K1317" s="3">
        <v>76.476538735570003</v>
      </c>
    </row>
    <row r="1318" spans="1:11" x14ac:dyDescent="0.2">
      <c r="A1318" s="2" t="s">
        <v>129</v>
      </c>
      <c r="B1318" s="2" t="s">
        <v>130</v>
      </c>
      <c r="C1318" s="3">
        <v>2018</v>
      </c>
      <c r="D1318" s="3">
        <v>20454.310707952969</v>
      </c>
      <c r="E1318" s="3">
        <v>7.4429661035537706E-2</v>
      </c>
      <c r="F1318" s="3">
        <v>3.4366300106048602</v>
      </c>
      <c r="G1318" s="3">
        <v>163</v>
      </c>
      <c r="H1318" s="4">
        <v>6982604</v>
      </c>
      <c r="I1318" s="3">
        <v>0.91891</v>
      </c>
      <c r="J1318" s="3">
        <v>105.56371302855921</v>
      </c>
      <c r="K1318" s="3">
        <v>77.541235500090195</v>
      </c>
    </row>
    <row r="1319" spans="1:11" x14ac:dyDescent="0.2">
      <c r="A1319" s="2" t="s">
        <v>129</v>
      </c>
      <c r="B1319" s="2" t="s">
        <v>130</v>
      </c>
      <c r="C1319" s="3">
        <v>2019</v>
      </c>
      <c r="D1319" s="3">
        <v>21541.215734676109</v>
      </c>
      <c r="E1319" s="3">
        <v>-1.67613662779331E-2</v>
      </c>
      <c r="F1319" s="3">
        <v>3.4586598873138401</v>
      </c>
      <c r="G1319" s="3">
        <v>168</v>
      </c>
      <c r="H1319" s="4">
        <v>6945235</v>
      </c>
      <c r="I1319" s="3">
        <v>0.88666999999999996</v>
      </c>
      <c r="J1319" s="3">
        <v>107.5773095460919</v>
      </c>
      <c r="K1319" s="3">
        <v>78.225938582251089</v>
      </c>
    </row>
    <row r="1320" spans="1:11" x14ac:dyDescent="0.2">
      <c r="A1320" s="2" t="s">
        <v>129</v>
      </c>
      <c r="B1320" s="2" t="s">
        <v>130</v>
      </c>
      <c r="C1320" s="3">
        <v>2020</v>
      </c>
      <c r="D1320" s="3">
        <v>21479.167928981431</v>
      </c>
      <c r="E1320" s="3">
        <v>-4.29243594408035E-2</v>
      </c>
      <c r="F1320" s="2"/>
      <c r="G1320" s="3">
        <v>138</v>
      </c>
      <c r="H1320" s="4">
        <v>6899126</v>
      </c>
      <c r="I1320" s="3">
        <v>0.90558000000000005</v>
      </c>
      <c r="J1320" s="3">
        <v>100.3244608101292</v>
      </c>
      <c r="K1320" s="3">
        <v>78.25544523358586</v>
      </c>
    </row>
    <row r="1321" spans="1:11" x14ac:dyDescent="0.2">
      <c r="A1321" s="2" t="s">
        <v>129</v>
      </c>
      <c r="B1321" s="2" t="s">
        <v>130</v>
      </c>
      <c r="C1321" s="3">
        <v>2021</v>
      </c>
      <c r="D1321" s="3">
        <v>23406.40363156344</v>
      </c>
      <c r="E1321" s="3">
        <v>1.235440839082E-2</v>
      </c>
      <c r="F1321" s="3">
        <v>3.1461598873138401</v>
      </c>
      <c r="G1321" s="3">
        <v>138</v>
      </c>
      <c r="H1321" s="4">
        <v>6834326</v>
      </c>
      <c r="I1321" s="3">
        <v>0.99378999999999995</v>
      </c>
      <c r="J1321" s="3">
        <v>112.3422983249453</v>
      </c>
      <c r="K1321" s="3">
        <v>78.961247767857131</v>
      </c>
    </row>
    <row r="1322" spans="1:11" x14ac:dyDescent="0.2">
      <c r="A1322" s="2" t="s">
        <v>131</v>
      </c>
      <c r="B1322" s="2" t="s">
        <v>132</v>
      </c>
      <c r="C1322" s="3">
        <v>2000</v>
      </c>
      <c r="D1322" s="3">
        <v>68314.544402716638</v>
      </c>
      <c r="E1322" s="3">
        <v>2.1079938411712602</v>
      </c>
      <c r="F1322" s="3">
        <v>3.32130002975464</v>
      </c>
      <c r="G1322" s="3">
        <v>516</v>
      </c>
      <c r="H1322" s="4">
        <v>4027887</v>
      </c>
      <c r="I1322" s="3">
        <v>1.8169900000000001</v>
      </c>
      <c r="J1322" s="3">
        <v>364.36452046821762</v>
      </c>
      <c r="K1322" s="3">
        <v>65.191006111111108</v>
      </c>
    </row>
    <row r="1323" spans="1:11" x14ac:dyDescent="0.2">
      <c r="A1323" s="2" t="s">
        <v>131</v>
      </c>
      <c r="B1323" s="2" t="s">
        <v>132</v>
      </c>
      <c r="C1323" s="3">
        <v>2001</v>
      </c>
      <c r="D1323" s="3">
        <v>65784.401881378304</v>
      </c>
      <c r="E1323" s="2"/>
      <c r="F1323" s="3">
        <v>3.5424900054931601</v>
      </c>
      <c r="G1323" s="3">
        <v>524</v>
      </c>
      <c r="H1323" s="4">
        <v>4138012</v>
      </c>
      <c r="I1323" s="3">
        <v>2.0093000000000001</v>
      </c>
      <c r="J1323" s="3">
        <v>349.29210569497832</v>
      </c>
      <c r="K1323" s="3">
        <v>65.252860714285717</v>
      </c>
    </row>
    <row r="1324" spans="1:11" x14ac:dyDescent="0.2">
      <c r="A1324" s="2" t="s">
        <v>131</v>
      </c>
      <c r="B1324" s="2" t="s">
        <v>132</v>
      </c>
      <c r="C1324" s="3">
        <v>2002</v>
      </c>
      <c r="D1324" s="3">
        <v>67744.270267980828</v>
      </c>
      <c r="E1324" s="3">
        <v>1.79351305961609</v>
      </c>
      <c r="F1324" s="3">
        <v>3.87853002548218</v>
      </c>
      <c r="G1324" s="3">
        <v>624</v>
      </c>
      <c r="H1324" s="4">
        <v>4175950</v>
      </c>
      <c r="I1324" s="3">
        <v>2.0328200000000001</v>
      </c>
      <c r="J1324" s="3">
        <v>349.74601398567643</v>
      </c>
      <c r="K1324" s="3">
        <v>65.627381666666665</v>
      </c>
    </row>
    <row r="1325" spans="1:11" x14ac:dyDescent="0.2">
      <c r="A1325" s="2" t="s">
        <v>131</v>
      </c>
      <c r="B1325" s="2" t="s">
        <v>132</v>
      </c>
      <c r="C1325" s="3">
        <v>2003</v>
      </c>
      <c r="D1325" s="3">
        <v>71877.534863355177</v>
      </c>
      <c r="E1325" s="3">
        <v>1.9282470941543599</v>
      </c>
      <c r="F1325" s="3">
        <v>3.9819400310516402</v>
      </c>
      <c r="G1325" s="3">
        <v>626</v>
      </c>
      <c r="H1325" s="4">
        <v>4114826</v>
      </c>
      <c r="I1325" s="3">
        <v>1.9967900000000001</v>
      </c>
      <c r="J1325" s="3">
        <v>377.21856430158141</v>
      </c>
      <c r="K1325" s="3">
        <v>66.278106587301579</v>
      </c>
    </row>
    <row r="1326" spans="1:11" x14ac:dyDescent="0.2">
      <c r="A1326" s="2" t="s">
        <v>131</v>
      </c>
      <c r="B1326" s="2" t="s">
        <v>132</v>
      </c>
      <c r="C1326" s="3">
        <v>2004</v>
      </c>
      <c r="D1326" s="3">
        <v>78039.024710381986</v>
      </c>
      <c r="E1326" s="3">
        <v>2.0158543586731001</v>
      </c>
      <c r="F1326" s="3">
        <v>3.65276002883911</v>
      </c>
      <c r="G1326" s="3">
        <v>641</v>
      </c>
      <c r="H1326" s="4">
        <v>4166664</v>
      </c>
      <c r="I1326" s="3">
        <v>2.0785900000000002</v>
      </c>
      <c r="J1326" s="3">
        <v>401.52371253850941</v>
      </c>
      <c r="K1326" s="3">
        <v>66.336295873015885</v>
      </c>
    </row>
    <row r="1327" spans="1:11" x14ac:dyDescent="0.2">
      <c r="A1327" s="2" t="s">
        <v>131</v>
      </c>
      <c r="B1327" s="2" t="s">
        <v>132</v>
      </c>
      <c r="C1327" s="3">
        <v>2005</v>
      </c>
      <c r="D1327" s="3">
        <v>81841.158780105441</v>
      </c>
      <c r="E1327" s="3">
        <v>1.9980003833770801</v>
      </c>
      <c r="F1327" s="3">
        <v>3.1959600448608398</v>
      </c>
      <c r="G1327" s="3">
        <v>569</v>
      </c>
      <c r="H1327" s="4">
        <v>4265762</v>
      </c>
      <c r="I1327" s="3">
        <v>2.1480600000000001</v>
      </c>
      <c r="J1327" s="3">
        <v>420.43051292055861</v>
      </c>
      <c r="K1327" s="3">
        <v>66.524867063492067</v>
      </c>
    </row>
    <row r="1328" spans="1:11" x14ac:dyDescent="0.2">
      <c r="A1328" s="2" t="s">
        <v>131</v>
      </c>
      <c r="B1328" s="2" t="s">
        <v>132</v>
      </c>
      <c r="C1328" s="3">
        <v>2006</v>
      </c>
      <c r="D1328" s="3">
        <v>86463.828383660672</v>
      </c>
      <c r="E1328" s="3">
        <v>2.2488696575164799</v>
      </c>
      <c r="F1328" s="3">
        <v>2.85911989212036</v>
      </c>
      <c r="G1328" s="3">
        <v>626</v>
      </c>
      <c r="H1328" s="4">
        <v>4401365</v>
      </c>
      <c r="I1328" s="3">
        <v>2.1165600000000002</v>
      </c>
      <c r="J1328" s="3">
        <v>425.36339954301928</v>
      </c>
      <c r="K1328" s="3">
        <v>66.596283412698412</v>
      </c>
    </row>
    <row r="1329" spans="1:11" x14ac:dyDescent="0.2">
      <c r="A1329" s="2" t="s">
        <v>131</v>
      </c>
      <c r="B1329" s="2" t="s">
        <v>132</v>
      </c>
      <c r="C1329" s="3">
        <v>2007</v>
      </c>
      <c r="D1329" s="3">
        <v>90417.80738499666</v>
      </c>
      <c r="E1329" s="3">
        <v>2.4078605175018302</v>
      </c>
      <c r="F1329" s="3">
        <v>2.9467499256134002</v>
      </c>
      <c r="G1329" s="3">
        <v>696</v>
      </c>
      <c r="H1329" s="4">
        <v>4588599</v>
      </c>
      <c r="I1329" s="3">
        <v>2.3198599999999998</v>
      </c>
      <c r="J1329" s="3">
        <v>394.28847191907818</v>
      </c>
      <c r="K1329" s="3">
        <v>67.185573650793643</v>
      </c>
    </row>
    <row r="1330" spans="1:11" x14ac:dyDescent="0.2">
      <c r="A1330" s="2" t="s">
        <v>131</v>
      </c>
      <c r="B1330" s="2" t="s">
        <v>132</v>
      </c>
      <c r="C1330" s="3">
        <v>2008</v>
      </c>
      <c r="D1330" s="3">
        <v>87329.593779268645</v>
      </c>
      <c r="E1330" s="3">
        <v>2.4696598052978498</v>
      </c>
      <c r="F1330" s="3">
        <v>2.7646000385284402</v>
      </c>
      <c r="G1330" s="3">
        <v>793</v>
      </c>
      <c r="H1330" s="4">
        <v>4839396</v>
      </c>
      <c r="I1330" s="3">
        <v>2.59674</v>
      </c>
      <c r="J1330" s="3">
        <v>437.32671489105712</v>
      </c>
      <c r="K1330" s="3">
        <v>67.446465158730149</v>
      </c>
    </row>
    <row r="1331" spans="1:11" x14ac:dyDescent="0.2">
      <c r="A1331" s="2" t="s">
        <v>131</v>
      </c>
      <c r="B1331" s="2" t="s">
        <v>132</v>
      </c>
      <c r="C1331" s="3">
        <v>2009</v>
      </c>
      <c r="D1331" s="3">
        <v>84843.519400173362</v>
      </c>
      <c r="E1331" s="3">
        <v>2.3071529865264901</v>
      </c>
      <c r="F1331" s="3">
        <v>3.0101299285888699</v>
      </c>
      <c r="G1331" s="3">
        <v>750</v>
      </c>
      <c r="H1331" s="4">
        <v>4987573</v>
      </c>
      <c r="I1331" s="3">
        <v>2.1278999999999999</v>
      </c>
      <c r="J1331" s="3">
        <v>358.19281182884231</v>
      </c>
      <c r="K1331" s="3">
        <v>67.639409603174599</v>
      </c>
    </row>
    <row r="1332" spans="1:11" x14ac:dyDescent="0.2">
      <c r="A1332" s="2" t="s">
        <v>131</v>
      </c>
      <c r="B1332" s="2" t="s">
        <v>132</v>
      </c>
      <c r="C1332" s="3">
        <v>2010</v>
      </c>
      <c r="D1332" s="3">
        <v>95456.189307999637</v>
      </c>
      <c r="E1332" s="3">
        <v>2.2811255455017099</v>
      </c>
      <c r="F1332" s="3">
        <v>3.0804400444030802</v>
      </c>
      <c r="G1332" s="3">
        <v>895</v>
      </c>
      <c r="H1332" s="4">
        <v>5076732</v>
      </c>
      <c r="I1332" s="3">
        <v>1.9291799999999999</v>
      </c>
      <c r="J1332" s="3">
        <v>369.6855557876458</v>
      </c>
      <c r="K1332" s="3">
        <v>67.94461738095238</v>
      </c>
    </row>
    <row r="1333" spans="1:11" x14ac:dyDescent="0.2">
      <c r="A1333" s="2" t="s">
        <v>131</v>
      </c>
      <c r="B1333" s="2" t="s">
        <v>132</v>
      </c>
      <c r="C1333" s="3">
        <v>2011</v>
      </c>
      <c r="D1333" s="3">
        <v>99296.756111126859</v>
      </c>
      <c r="E1333" s="3">
        <v>2.1938171386718799</v>
      </c>
      <c r="F1333" s="3">
        <v>3.0307700634002699</v>
      </c>
      <c r="G1333" s="3">
        <v>1056</v>
      </c>
      <c r="H1333" s="4">
        <v>5183688</v>
      </c>
      <c r="I1333" s="3">
        <v>2.06955</v>
      </c>
      <c r="J1333" s="3">
        <v>379.09863137753899</v>
      </c>
      <c r="K1333" s="3">
        <v>67.939354206349194</v>
      </c>
    </row>
    <row r="1334" spans="1:11" x14ac:dyDescent="0.2">
      <c r="A1334" s="2" t="s">
        <v>131</v>
      </c>
      <c r="B1334" s="2" t="s">
        <v>132</v>
      </c>
      <c r="C1334" s="3">
        <v>2012</v>
      </c>
      <c r="D1334" s="3">
        <v>101187.82533345401</v>
      </c>
      <c r="E1334" s="3">
        <v>2.20258617401123</v>
      </c>
      <c r="F1334" s="3">
        <v>3.0708599090576199</v>
      </c>
      <c r="G1334" s="3">
        <v>1081</v>
      </c>
      <c r="H1334" s="4">
        <v>5312437</v>
      </c>
      <c r="I1334" s="3">
        <v>1.9183300000000001</v>
      </c>
      <c r="J1334" s="3">
        <v>369.2129657876647</v>
      </c>
      <c r="K1334" s="3">
        <v>68.008965634920642</v>
      </c>
    </row>
    <row r="1335" spans="1:11" x14ac:dyDescent="0.2">
      <c r="A1335" s="2" t="s">
        <v>131</v>
      </c>
      <c r="B1335" s="2" t="s">
        <v>132</v>
      </c>
      <c r="C1335" s="3">
        <v>2013</v>
      </c>
      <c r="D1335" s="3">
        <v>104359.0306807236</v>
      </c>
      <c r="E1335" s="3">
        <v>2.1280655860900901</v>
      </c>
      <c r="F1335" s="3">
        <v>2.8543500900268599</v>
      </c>
      <c r="G1335" s="3">
        <v>1143</v>
      </c>
      <c r="H1335" s="4">
        <v>5399162</v>
      </c>
      <c r="I1335" s="3">
        <v>1.9210400000000001</v>
      </c>
      <c r="J1335" s="3">
        <v>367.04178004901911</v>
      </c>
      <c r="K1335" s="3">
        <v>67.651147142857141</v>
      </c>
    </row>
    <row r="1336" spans="1:11" x14ac:dyDescent="0.2">
      <c r="A1336" s="2" t="s">
        <v>131</v>
      </c>
      <c r="B1336" s="2" t="s">
        <v>132</v>
      </c>
      <c r="C1336" s="3">
        <v>2014</v>
      </c>
      <c r="D1336" s="3">
        <v>107066.8586139915</v>
      </c>
      <c r="E1336" s="3">
        <v>2.2174735069274898</v>
      </c>
      <c r="F1336" s="3">
        <v>3.01358665503678</v>
      </c>
      <c r="G1336" s="3">
        <v>1303</v>
      </c>
      <c r="H1336" s="4">
        <v>5469724</v>
      </c>
      <c r="I1336" s="3">
        <v>2.0822799999999999</v>
      </c>
      <c r="J1336" s="3">
        <v>360.46731916623702</v>
      </c>
      <c r="K1336" s="3">
        <v>68.403343809523818</v>
      </c>
    </row>
    <row r="1337" spans="1:11" x14ac:dyDescent="0.2">
      <c r="A1337" s="2" t="s">
        <v>131</v>
      </c>
      <c r="B1337" s="2" t="s">
        <v>132</v>
      </c>
      <c r="C1337" s="3">
        <v>2015</v>
      </c>
      <c r="D1337" s="3">
        <v>108953.72429428709</v>
      </c>
      <c r="E1337" s="3">
        <v>2.2486994266510001</v>
      </c>
      <c r="F1337" s="3">
        <v>2.9916187050990901</v>
      </c>
      <c r="G1337" s="3">
        <v>1469</v>
      </c>
      <c r="H1337" s="4">
        <v>5535002</v>
      </c>
      <c r="I1337" s="3">
        <v>2.1744500000000002</v>
      </c>
      <c r="J1337" s="3">
        <v>329.47139894026151</v>
      </c>
      <c r="K1337" s="3">
        <v>68.472816904761899</v>
      </c>
    </row>
    <row r="1338" spans="1:11" x14ac:dyDescent="0.2">
      <c r="A1338" s="2" t="s">
        <v>131</v>
      </c>
      <c r="B1338" s="2" t="s">
        <v>132</v>
      </c>
      <c r="C1338" s="3">
        <v>2016</v>
      </c>
      <c r="D1338" s="3">
        <v>111579.7426843305</v>
      </c>
      <c r="E1338" s="3">
        <v>2.2146241664886501</v>
      </c>
      <c r="F1338" s="3">
        <v>2.9446625894657599</v>
      </c>
      <c r="G1338" s="3">
        <v>1601</v>
      </c>
      <c r="H1338" s="4">
        <v>5607283</v>
      </c>
      <c r="I1338" s="3">
        <v>2.0727600000000002</v>
      </c>
      <c r="J1338" s="3">
        <v>302.83965604657362</v>
      </c>
      <c r="K1338" s="3">
        <v>68.735462063492065</v>
      </c>
    </row>
    <row r="1339" spans="1:11" x14ac:dyDescent="0.2">
      <c r="A1339" s="2" t="s">
        <v>131</v>
      </c>
      <c r="B1339" s="2" t="s">
        <v>132</v>
      </c>
      <c r="C1339" s="3">
        <v>2017</v>
      </c>
      <c r="D1339" s="3">
        <v>116471.8207647763</v>
      </c>
      <c r="E1339" s="3">
        <v>2.2259819507598899</v>
      </c>
      <c r="F1339" s="3">
        <v>2.8791638242174198</v>
      </c>
      <c r="G1339" s="3">
        <v>1609</v>
      </c>
      <c r="H1339" s="4">
        <v>5612253</v>
      </c>
      <c r="I1339" s="3">
        <v>1.89913</v>
      </c>
      <c r="J1339" s="3">
        <v>316.7944092875681</v>
      </c>
      <c r="K1339" s="3">
        <v>68.749737222222222</v>
      </c>
    </row>
    <row r="1340" spans="1:11" x14ac:dyDescent="0.2">
      <c r="A1340" s="2" t="s">
        <v>131</v>
      </c>
      <c r="B1340" s="2" t="s">
        <v>132</v>
      </c>
      <c r="C1340" s="3">
        <v>2018</v>
      </c>
      <c r="D1340" s="3">
        <v>119927.76912792699</v>
      </c>
      <c r="E1340" s="3">
        <v>2.2317657470703098</v>
      </c>
      <c r="F1340" s="3">
        <v>2.85660004615784</v>
      </c>
      <c r="G1340" s="3">
        <v>1575</v>
      </c>
      <c r="H1340" s="4">
        <v>5638676</v>
      </c>
      <c r="I1340" s="3">
        <v>1.8094699999999999</v>
      </c>
      <c r="J1340" s="3">
        <v>326.59658728674958</v>
      </c>
      <c r="K1340" s="3">
        <v>68.723837539682535</v>
      </c>
    </row>
    <row r="1341" spans="1:11" x14ac:dyDescent="0.2">
      <c r="A1341" s="2" t="s">
        <v>131</v>
      </c>
      <c r="B1341" s="2" t="s">
        <v>132</v>
      </c>
      <c r="C1341" s="3">
        <v>2019</v>
      </c>
      <c r="D1341" s="3">
        <v>120114.1338942352</v>
      </c>
      <c r="E1341" s="3">
        <v>2.2316722869872998</v>
      </c>
      <c r="F1341" s="3">
        <v>2.72951006889343</v>
      </c>
      <c r="G1341" s="3">
        <v>1727</v>
      </c>
      <c r="H1341" s="4">
        <v>5703569</v>
      </c>
      <c r="I1341" s="3">
        <v>1.8847400000000001</v>
      </c>
      <c r="J1341" s="3">
        <v>324.39498511530093</v>
      </c>
      <c r="K1341" s="3">
        <v>68.379113730158721</v>
      </c>
    </row>
    <row r="1342" spans="1:11" x14ac:dyDescent="0.2">
      <c r="A1342" s="2" t="s">
        <v>131</v>
      </c>
      <c r="B1342" s="2" t="s">
        <v>132</v>
      </c>
      <c r="C1342" s="3">
        <v>2020</v>
      </c>
      <c r="D1342" s="3">
        <v>115893.04239593779</v>
      </c>
      <c r="E1342" s="3">
        <v>2.2842028141021702</v>
      </c>
      <c r="F1342" s="3">
        <v>2.6869900226593</v>
      </c>
      <c r="G1342" s="3">
        <v>1778</v>
      </c>
      <c r="H1342" s="4">
        <v>5685807</v>
      </c>
      <c r="I1342" s="3">
        <v>2.1562600000000001</v>
      </c>
      <c r="J1342" s="3">
        <v>332.04080548191342</v>
      </c>
      <c r="K1342" s="3">
        <v>69.025866269841273</v>
      </c>
    </row>
    <row r="1343" spans="1:11" x14ac:dyDescent="0.2">
      <c r="A1343" s="2" t="s">
        <v>131</v>
      </c>
      <c r="B1343" s="2" t="s">
        <v>132</v>
      </c>
      <c r="C1343" s="3">
        <v>2021</v>
      </c>
      <c r="D1343" s="3">
        <v>132617.3540208764</v>
      </c>
      <c r="E1343" s="3">
        <v>2.2480385303497301</v>
      </c>
      <c r="F1343" s="3">
        <v>2.8247098922729501</v>
      </c>
      <c r="G1343" s="3">
        <v>2024</v>
      </c>
      <c r="H1343" s="4">
        <v>5453566</v>
      </c>
      <c r="I1343" s="2"/>
      <c r="J1343" s="3">
        <v>329.16138368376198</v>
      </c>
      <c r="K1343" s="3">
        <v>68.802425317460333</v>
      </c>
    </row>
    <row r="1344" spans="1:11" x14ac:dyDescent="0.2">
      <c r="A1344" s="2" t="s">
        <v>133</v>
      </c>
      <c r="B1344" s="2" t="s">
        <v>134</v>
      </c>
      <c r="C1344" s="3">
        <v>2000</v>
      </c>
      <c r="D1344" s="3">
        <v>18343.237153675</v>
      </c>
      <c r="E1344" s="3">
        <v>0.67305195331573497</v>
      </c>
      <c r="F1344" s="3">
        <v>3.8682301044464098</v>
      </c>
      <c r="G1344" s="3">
        <v>236</v>
      </c>
      <c r="H1344" s="4">
        <v>5388720</v>
      </c>
      <c r="I1344" s="3">
        <v>0.63807000000000003</v>
      </c>
      <c r="J1344" s="3">
        <v>108.9392629587461</v>
      </c>
      <c r="K1344" s="3">
        <v>75.43450592983406</v>
      </c>
    </row>
    <row r="1345" spans="1:11" x14ac:dyDescent="0.2">
      <c r="A1345" s="2" t="s">
        <v>133</v>
      </c>
      <c r="B1345" s="2" t="s">
        <v>134</v>
      </c>
      <c r="C1345" s="3">
        <v>2001</v>
      </c>
      <c r="D1345" s="3">
        <v>18914.390330453069</v>
      </c>
      <c r="E1345" s="2"/>
      <c r="F1345" s="3">
        <v>3.9423699378967298</v>
      </c>
      <c r="G1345" s="3">
        <v>246</v>
      </c>
      <c r="H1345" s="4">
        <v>5378867</v>
      </c>
      <c r="I1345" s="3">
        <v>0.62465000000000004</v>
      </c>
      <c r="J1345" s="3">
        <v>121.9311312229117</v>
      </c>
      <c r="K1345" s="3">
        <v>75.806400577200577</v>
      </c>
    </row>
    <row r="1346" spans="1:11" x14ac:dyDescent="0.2">
      <c r="A1346" s="2" t="s">
        <v>133</v>
      </c>
      <c r="B1346" s="2" t="s">
        <v>134</v>
      </c>
      <c r="C1346" s="3">
        <v>2002</v>
      </c>
      <c r="D1346" s="3">
        <v>19757.06778889928</v>
      </c>
      <c r="E1346" s="3">
        <v>0.54084569215774503</v>
      </c>
      <c r="F1346" s="3">
        <v>4.2519302368164098</v>
      </c>
      <c r="G1346" s="3">
        <v>259</v>
      </c>
      <c r="H1346" s="4">
        <v>5376912</v>
      </c>
      <c r="I1346" s="3">
        <v>0.56313999999999997</v>
      </c>
      <c r="J1346" s="3">
        <v>120.59916804588769</v>
      </c>
      <c r="K1346" s="3">
        <v>75.981874425054116</v>
      </c>
    </row>
    <row r="1347" spans="1:11" x14ac:dyDescent="0.2">
      <c r="A1347" s="2" t="s">
        <v>133</v>
      </c>
      <c r="B1347" s="2" t="s">
        <v>134</v>
      </c>
      <c r="C1347" s="3">
        <v>2003</v>
      </c>
      <c r="D1347" s="3">
        <v>20730.24947993505</v>
      </c>
      <c r="E1347" s="3">
        <v>0.668065965175629</v>
      </c>
      <c r="F1347" s="3">
        <v>4.23699998855591</v>
      </c>
      <c r="G1347" s="3">
        <v>210</v>
      </c>
      <c r="H1347" s="4">
        <v>5373374</v>
      </c>
      <c r="I1347" s="3">
        <v>0.56145</v>
      </c>
      <c r="J1347" s="3">
        <v>125.9985062208041</v>
      </c>
      <c r="K1347" s="3">
        <v>76.186583256673885</v>
      </c>
    </row>
    <row r="1348" spans="1:11" x14ac:dyDescent="0.2">
      <c r="A1348" s="2" t="s">
        <v>133</v>
      </c>
      <c r="B1348" s="2" t="s">
        <v>134</v>
      </c>
      <c r="C1348" s="3">
        <v>2004</v>
      </c>
      <c r="D1348" s="3">
        <v>21851.95496018726</v>
      </c>
      <c r="E1348" s="3">
        <v>0.81794202327728305</v>
      </c>
      <c r="F1348" s="3">
        <v>4.1174798011779803</v>
      </c>
      <c r="G1348" s="3">
        <v>215</v>
      </c>
      <c r="H1348" s="4">
        <v>5372280</v>
      </c>
      <c r="I1348" s="3">
        <v>0.50068999999999997</v>
      </c>
      <c r="J1348" s="3">
        <v>140.22246002158539</v>
      </c>
      <c r="K1348" s="3">
        <v>77.217662229437224</v>
      </c>
    </row>
    <row r="1349" spans="1:11" x14ac:dyDescent="0.2">
      <c r="A1349" s="2" t="s">
        <v>133</v>
      </c>
      <c r="B1349" s="2" t="s">
        <v>134</v>
      </c>
      <c r="C1349" s="3">
        <v>2005</v>
      </c>
      <c r="D1349" s="3">
        <v>23266.757049344229</v>
      </c>
      <c r="E1349" s="3">
        <v>0.87727230787277199</v>
      </c>
      <c r="F1349" s="3">
        <v>3.7756500244140598</v>
      </c>
      <c r="G1349" s="3">
        <v>155</v>
      </c>
      <c r="H1349" s="4">
        <v>5372807</v>
      </c>
      <c r="I1349" s="3">
        <v>0.49331999999999998</v>
      </c>
      <c r="J1349" s="3">
        <v>148.7054611617464</v>
      </c>
      <c r="K1349" s="3">
        <v>76.48979490891054</v>
      </c>
    </row>
    <row r="1350" spans="1:11" x14ac:dyDescent="0.2">
      <c r="A1350" s="2" t="s">
        <v>133</v>
      </c>
      <c r="B1350" s="2" t="s">
        <v>134</v>
      </c>
      <c r="C1350" s="3">
        <v>2006</v>
      </c>
      <c r="D1350" s="3">
        <v>25342.309926835838</v>
      </c>
      <c r="E1350" s="3">
        <v>0.82810026407241799</v>
      </c>
      <c r="F1350" s="3">
        <v>3.7085099220275901</v>
      </c>
      <c r="G1350" s="3">
        <v>193</v>
      </c>
      <c r="H1350" s="4">
        <v>5373054</v>
      </c>
      <c r="I1350" s="3">
        <v>0.47488000000000002</v>
      </c>
      <c r="J1350" s="3">
        <v>164.99220572623571</v>
      </c>
      <c r="K1350" s="3">
        <v>76.901353706709969</v>
      </c>
    </row>
    <row r="1351" spans="1:11" x14ac:dyDescent="0.2">
      <c r="A1351" s="2" t="s">
        <v>133</v>
      </c>
      <c r="B1351" s="2" t="s">
        <v>134</v>
      </c>
      <c r="C1351" s="3">
        <v>2007</v>
      </c>
      <c r="D1351" s="3">
        <v>28075.80727949983</v>
      </c>
      <c r="E1351" s="3">
        <v>0.69066071510314897</v>
      </c>
      <c r="F1351" s="3">
        <v>3.5222399234771702</v>
      </c>
      <c r="G1351" s="3">
        <v>239</v>
      </c>
      <c r="H1351" s="4">
        <v>5374622</v>
      </c>
      <c r="I1351" s="3">
        <v>0.44746000000000002</v>
      </c>
      <c r="J1351" s="3">
        <v>166.58002521688149</v>
      </c>
      <c r="K1351" s="3">
        <v>77.071276819534631</v>
      </c>
    </row>
    <row r="1352" spans="1:11" x14ac:dyDescent="0.2">
      <c r="A1352" s="2" t="s">
        <v>133</v>
      </c>
      <c r="B1352" s="2" t="s">
        <v>134</v>
      </c>
      <c r="C1352" s="3">
        <v>2008</v>
      </c>
      <c r="D1352" s="3">
        <v>29556.261797569539</v>
      </c>
      <c r="E1352" s="3">
        <v>0.84909904003143299</v>
      </c>
      <c r="F1352" s="3">
        <v>3.5233900547027601</v>
      </c>
      <c r="G1352" s="3">
        <v>167</v>
      </c>
      <c r="H1352" s="4">
        <v>5379233</v>
      </c>
      <c r="I1352" s="3">
        <v>0.46137</v>
      </c>
      <c r="J1352" s="3">
        <v>162.46447299164069</v>
      </c>
      <c r="K1352" s="3">
        <v>77.449246408279237</v>
      </c>
    </row>
    <row r="1353" spans="1:11" x14ac:dyDescent="0.2">
      <c r="A1353" s="2" t="s">
        <v>133</v>
      </c>
      <c r="B1353" s="2" t="s">
        <v>134</v>
      </c>
      <c r="C1353" s="3">
        <v>2009</v>
      </c>
      <c r="D1353" s="3">
        <v>27891.896941941719</v>
      </c>
      <c r="E1353" s="3">
        <v>0.861253201961517</v>
      </c>
      <c r="F1353" s="3">
        <v>4.0089302062988299</v>
      </c>
      <c r="G1353" s="3">
        <v>176</v>
      </c>
      <c r="H1353" s="4">
        <v>5386406</v>
      </c>
      <c r="I1353" s="3">
        <v>0.47271999999999997</v>
      </c>
      <c r="J1353" s="3">
        <v>136.7143520923637</v>
      </c>
      <c r="K1353" s="3">
        <v>77.814265252976199</v>
      </c>
    </row>
    <row r="1354" spans="1:11" x14ac:dyDescent="0.2">
      <c r="A1354" s="2" t="s">
        <v>133</v>
      </c>
      <c r="B1354" s="2" t="s">
        <v>134</v>
      </c>
      <c r="C1354" s="3">
        <v>2010</v>
      </c>
      <c r="D1354" s="3">
        <v>29758.174014011689</v>
      </c>
      <c r="E1354" s="3">
        <v>0.781369268894196</v>
      </c>
      <c r="F1354" s="3">
        <v>4.0470499992370597</v>
      </c>
      <c r="G1354" s="3">
        <v>234</v>
      </c>
      <c r="H1354" s="4">
        <v>5391428</v>
      </c>
      <c r="I1354" s="3">
        <v>0.60550000000000004</v>
      </c>
      <c r="J1354" s="3">
        <v>155.1084976815859</v>
      </c>
      <c r="K1354" s="3">
        <v>77.624902976190484</v>
      </c>
    </row>
    <row r="1355" spans="1:11" x14ac:dyDescent="0.2">
      <c r="A1355" s="2" t="s">
        <v>133</v>
      </c>
      <c r="B1355" s="2" t="s">
        <v>134</v>
      </c>
      <c r="C1355" s="3">
        <v>2011</v>
      </c>
      <c r="D1355" s="3">
        <v>30481.377866427949</v>
      </c>
      <c r="E1355" s="3">
        <v>0.77658402919769298</v>
      </c>
      <c r="F1355" s="3">
        <v>3.9068698883056601</v>
      </c>
      <c r="G1355" s="3">
        <v>224</v>
      </c>
      <c r="H1355" s="4">
        <v>5398384</v>
      </c>
      <c r="I1355" s="3">
        <v>0.65254999999999996</v>
      </c>
      <c r="J1355" s="3">
        <v>169.17807631106569</v>
      </c>
      <c r="K1355" s="3">
        <v>78.25820633567821</v>
      </c>
    </row>
    <row r="1356" spans="1:11" x14ac:dyDescent="0.2">
      <c r="A1356" s="2" t="s">
        <v>133</v>
      </c>
      <c r="B1356" s="2" t="s">
        <v>134</v>
      </c>
      <c r="C1356" s="3">
        <v>2012</v>
      </c>
      <c r="D1356" s="3">
        <v>30907.03924895596</v>
      </c>
      <c r="E1356" s="3">
        <v>0.78154754638671897</v>
      </c>
      <c r="F1356" s="3">
        <v>3.8549098968505899</v>
      </c>
      <c r="G1356" s="3">
        <v>168</v>
      </c>
      <c r="H1356" s="4">
        <v>5407579</v>
      </c>
      <c r="I1356" s="3">
        <v>0.79461000000000004</v>
      </c>
      <c r="J1356" s="3">
        <v>176.9689581814313</v>
      </c>
      <c r="K1356" s="3">
        <v>78.714465252976197</v>
      </c>
    </row>
    <row r="1357" spans="1:11" x14ac:dyDescent="0.2">
      <c r="A1357" s="2" t="s">
        <v>133</v>
      </c>
      <c r="B1357" s="2" t="s">
        <v>134</v>
      </c>
      <c r="C1357" s="3">
        <v>2013</v>
      </c>
      <c r="D1357" s="3">
        <v>31090.9880191144</v>
      </c>
      <c r="E1357" s="3">
        <v>0.725380659103394</v>
      </c>
      <c r="F1357" s="3">
        <v>4.0607800483703604</v>
      </c>
      <c r="G1357" s="3">
        <v>184</v>
      </c>
      <c r="H1357" s="4">
        <v>5413393</v>
      </c>
      <c r="I1357" s="3">
        <v>0.82004999999999995</v>
      </c>
      <c r="J1357" s="3">
        <v>180.9031364914581</v>
      </c>
      <c r="K1357" s="3">
        <v>78.922926539953082</v>
      </c>
    </row>
    <row r="1358" spans="1:11" x14ac:dyDescent="0.2">
      <c r="A1358" s="2" t="s">
        <v>133</v>
      </c>
      <c r="B1358" s="2" t="s">
        <v>134</v>
      </c>
      <c r="C1358" s="3">
        <v>2014</v>
      </c>
      <c r="D1358" s="3">
        <v>31901.942498270189</v>
      </c>
      <c r="E1358" s="3">
        <v>0.79342287778854403</v>
      </c>
      <c r="F1358" s="3">
        <v>4.2044601440429696</v>
      </c>
      <c r="G1358" s="3">
        <v>211</v>
      </c>
      <c r="H1358" s="4">
        <v>5418649</v>
      </c>
      <c r="I1358" s="3">
        <v>0.877</v>
      </c>
      <c r="J1358" s="3">
        <v>176.75631609813189</v>
      </c>
      <c r="K1358" s="3">
        <v>79.642473076749638</v>
      </c>
    </row>
    <row r="1359" spans="1:11" x14ac:dyDescent="0.2">
      <c r="A1359" s="2" t="s">
        <v>133</v>
      </c>
      <c r="B1359" s="2" t="s">
        <v>134</v>
      </c>
      <c r="C1359" s="3">
        <v>2015</v>
      </c>
      <c r="D1359" s="3">
        <v>33521.595476497532</v>
      </c>
      <c r="E1359" s="3">
        <v>0.73697715997695901</v>
      </c>
      <c r="F1359" s="3">
        <v>4.56416988372803</v>
      </c>
      <c r="G1359" s="3">
        <v>228</v>
      </c>
      <c r="H1359" s="4">
        <v>5423801</v>
      </c>
      <c r="I1359" s="3">
        <v>1.15727</v>
      </c>
      <c r="J1359" s="3">
        <v>179.42602289503051</v>
      </c>
      <c r="K1359" s="3">
        <v>79.758467521194078</v>
      </c>
    </row>
    <row r="1360" spans="1:11" x14ac:dyDescent="0.2">
      <c r="A1360" s="2" t="s">
        <v>133</v>
      </c>
      <c r="B1360" s="2" t="s">
        <v>134</v>
      </c>
      <c r="C1360" s="3">
        <v>2016</v>
      </c>
      <c r="D1360" s="3">
        <v>34130.505067620303</v>
      </c>
      <c r="E1360" s="3">
        <v>0.79348284006118797</v>
      </c>
      <c r="F1360" s="3">
        <v>3.8837599754333501</v>
      </c>
      <c r="G1360" s="3">
        <v>220</v>
      </c>
      <c r="H1360" s="4">
        <v>5430798</v>
      </c>
      <c r="I1360" s="3">
        <v>0.78856999999999999</v>
      </c>
      <c r="J1360" s="3">
        <v>182.75737959620059</v>
      </c>
      <c r="K1360" s="3">
        <v>79.952764028679681</v>
      </c>
    </row>
    <row r="1361" spans="1:11" x14ac:dyDescent="0.2">
      <c r="A1361" s="2" t="s">
        <v>133</v>
      </c>
      <c r="B1361" s="2" t="s">
        <v>134</v>
      </c>
      <c r="C1361" s="3">
        <v>2017</v>
      </c>
      <c r="D1361" s="3">
        <v>35057.222376316713</v>
      </c>
      <c r="E1361" s="3">
        <v>0.66643911600112904</v>
      </c>
      <c r="F1361" s="3">
        <v>3.9187600612640399</v>
      </c>
      <c r="G1361" s="3">
        <v>183</v>
      </c>
      <c r="H1361" s="4">
        <v>5439232</v>
      </c>
      <c r="I1361" s="3">
        <v>0.88456000000000001</v>
      </c>
      <c r="J1361" s="3">
        <v>186.64468739954879</v>
      </c>
      <c r="K1361" s="3">
        <v>79.822295763437964</v>
      </c>
    </row>
    <row r="1362" spans="1:11" x14ac:dyDescent="0.2">
      <c r="A1362" s="2" t="s">
        <v>133</v>
      </c>
      <c r="B1362" s="2" t="s">
        <v>134</v>
      </c>
      <c r="C1362" s="3">
        <v>2018</v>
      </c>
      <c r="D1362" s="3">
        <v>36430.794170419511</v>
      </c>
      <c r="E1362" s="3">
        <v>0.58132147789001498</v>
      </c>
      <c r="F1362" s="3">
        <v>3.9353499412536599</v>
      </c>
      <c r="G1362" s="3">
        <v>217</v>
      </c>
      <c r="H1362" s="4">
        <v>5446771</v>
      </c>
      <c r="I1362" s="3">
        <v>0.83555000000000001</v>
      </c>
      <c r="J1362" s="3">
        <v>188.73296469949639</v>
      </c>
      <c r="K1362" s="3">
        <v>79.954770145652958</v>
      </c>
    </row>
    <row r="1363" spans="1:11" x14ac:dyDescent="0.2">
      <c r="A1363" s="2" t="s">
        <v>133</v>
      </c>
      <c r="B1363" s="2" t="s">
        <v>134</v>
      </c>
      <c r="C1363" s="3">
        <v>2019</v>
      </c>
      <c r="D1363" s="3">
        <v>37209.533255307317</v>
      </c>
      <c r="E1363" s="3">
        <v>0.54965877532958995</v>
      </c>
      <c r="F1363" s="3">
        <v>4.26779985427856</v>
      </c>
      <c r="G1363" s="3">
        <v>206</v>
      </c>
      <c r="H1363" s="4">
        <v>5454147</v>
      </c>
      <c r="I1363" s="3">
        <v>0.82240000000000002</v>
      </c>
      <c r="J1363" s="3">
        <v>183.72260863123549</v>
      </c>
      <c r="K1363" s="3">
        <v>80.296749280753971</v>
      </c>
    </row>
    <row r="1364" spans="1:11" x14ac:dyDescent="0.2">
      <c r="A1364" s="2" t="s">
        <v>133</v>
      </c>
      <c r="B1364" s="2" t="s">
        <v>134</v>
      </c>
      <c r="C1364" s="3">
        <v>2020</v>
      </c>
      <c r="D1364" s="3">
        <v>36216.400211081418</v>
      </c>
      <c r="E1364" s="3">
        <v>0.50214582681655895</v>
      </c>
      <c r="F1364" s="3">
        <v>4.7202901840209996</v>
      </c>
      <c r="G1364" s="3">
        <v>206</v>
      </c>
      <c r="H1364" s="4">
        <v>5458827</v>
      </c>
      <c r="I1364" s="3">
        <v>0.89773000000000003</v>
      </c>
      <c r="J1364" s="3">
        <v>167.53417332036639</v>
      </c>
      <c r="K1364" s="3">
        <v>80.835358669282115</v>
      </c>
    </row>
    <row r="1365" spans="1:11" x14ac:dyDescent="0.2">
      <c r="A1365" s="2" t="s">
        <v>133</v>
      </c>
      <c r="B1365" s="2" t="s">
        <v>134</v>
      </c>
      <c r="C1365" s="3">
        <v>2021</v>
      </c>
      <c r="D1365" s="3">
        <v>38346.093576817671</v>
      </c>
      <c r="E1365" s="3">
        <v>0.49065583944320701</v>
      </c>
      <c r="F1365" s="3">
        <v>4.71646976470947</v>
      </c>
      <c r="G1365" s="3">
        <v>146</v>
      </c>
      <c r="H1365" s="4">
        <v>5447247</v>
      </c>
      <c r="I1365" s="3">
        <v>0.91610999999999998</v>
      </c>
      <c r="J1365" s="3">
        <v>181.97948448511971</v>
      </c>
      <c r="K1365" s="3">
        <v>80.839402238906914</v>
      </c>
    </row>
    <row r="1366" spans="1:11" x14ac:dyDescent="0.2">
      <c r="A1366" s="2" t="s">
        <v>135</v>
      </c>
      <c r="B1366" s="2" t="s">
        <v>136</v>
      </c>
      <c r="C1366" s="3">
        <v>2000</v>
      </c>
      <c r="D1366" s="3">
        <v>30055.57264655457</v>
      </c>
      <c r="E1366" s="3">
        <v>0.67412632703781095</v>
      </c>
      <c r="F1366" s="2"/>
      <c r="G1366" s="3">
        <v>307</v>
      </c>
      <c r="H1366" s="4">
        <v>1988925</v>
      </c>
      <c r="I1366" s="3">
        <v>1.35982</v>
      </c>
      <c r="J1366" s="3">
        <v>104.6203485814588</v>
      </c>
      <c r="K1366" s="3">
        <v>74.755276895000421</v>
      </c>
    </row>
    <row r="1367" spans="1:11" x14ac:dyDescent="0.2">
      <c r="A1367" s="2" t="s">
        <v>135</v>
      </c>
      <c r="B1367" s="2" t="s">
        <v>136</v>
      </c>
      <c r="C1367" s="3">
        <v>2001</v>
      </c>
      <c r="D1367" s="3">
        <v>30857.11220434367</v>
      </c>
      <c r="E1367" s="2"/>
      <c r="F1367" s="3">
        <v>5.8146100044250497</v>
      </c>
      <c r="G1367" s="3">
        <v>301</v>
      </c>
      <c r="H1367" s="4">
        <v>1992060</v>
      </c>
      <c r="I1367" s="3">
        <v>1.46767</v>
      </c>
      <c r="J1367" s="3">
        <v>105.5832235306839</v>
      </c>
      <c r="K1367" s="3">
        <v>75.050208424581939</v>
      </c>
    </row>
    <row r="1368" spans="1:11" x14ac:dyDescent="0.2">
      <c r="A1368" s="2" t="s">
        <v>135</v>
      </c>
      <c r="B1368" s="2" t="s">
        <v>136</v>
      </c>
      <c r="C1368" s="3">
        <v>2002</v>
      </c>
      <c r="D1368" s="3">
        <v>31830.555322668599</v>
      </c>
      <c r="E1368" s="3">
        <v>0.78983700275421098</v>
      </c>
      <c r="F1368" s="3">
        <v>5.7401399612426802</v>
      </c>
      <c r="G1368" s="3">
        <v>300</v>
      </c>
      <c r="H1368" s="4">
        <v>1994530</v>
      </c>
      <c r="I1368" s="3">
        <v>1.4432499999999999</v>
      </c>
      <c r="J1368" s="3">
        <v>104.8804582894155</v>
      </c>
      <c r="K1368" s="3">
        <v>75.458959247941607</v>
      </c>
    </row>
    <row r="1369" spans="1:11" x14ac:dyDescent="0.2">
      <c r="A1369" s="2" t="s">
        <v>135</v>
      </c>
      <c r="B1369" s="2" t="s">
        <v>136</v>
      </c>
      <c r="C1369" s="3">
        <v>2003</v>
      </c>
      <c r="D1369" s="3">
        <v>32827.75144194618</v>
      </c>
      <c r="E1369" s="3">
        <v>0.89787524938583396</v>
      </c>
      <c r="F1369" s="3">
        <v>5.7565798759460396</v>
      </c>
      <c r="G1369" s="3">
        <v>310</v>
      </c>
      <c r="H1369" s="4">
        <v>1995733</v>
      </c>
      <c r="I1369" s="3">
        <v>1.2479199999999999</v>
      </c>
      <c r="J1369" s="3">
        <v>103.2800271276261</v>
      </c>
      <c r="K1369" s="3">
        <v>75.16713632119513</v>
      </c>
    </row>
    <row r="1370" spans="1:11" x14ac:dyDescent="0.2">
      <c r="A1370" s="2" t="s">
        <v>135</v>
      </c>
      <c r="B1370" s="2" t="s">
        <v>136</v>
      </c>
      <c r="C1370" s="3">
        <v>2004</v>
      </c>
      <c r="D1370" s="3">
        <v>34298.127743526296</v>
      </c>
      <c r="E1370" s="3">
        <v>0.90135532617569003</v>
      </c>
      <c r="F1370" s="3">
        <v>5.6869301795959499</v>
      </c>
      <c r="G1370" s="3">
        <v>342</v>
      </c>
      <c r="H1370" s="4">
        <v>1997012</v>
      </c>
      <c r="I1370" s="3">
        <v>1.37026</v>
      </c>
      <c r="J1370" s="3">
        <v>112.39993346676211</v>
      </c>
      <c r="K1370" s="3">
        <v>76.588015249129953</v>
      </c>
    </row>
    <row r="1371" spans="1:11" x14ac:dyDescent="0.2">
      <c r="A1371" s="2" t="s">
        <v>135</v>
      </c>
      <c r="B1371" s="2" t="s">
        <v>136</v>
      </c>
      <c r="C1371" s="3">
        <v>2005</v>
      </c>
      <c r="D1371" s="3">
        <v>35558.377741919838</v>
      </c>
      <c r="E1371" s="3">
        <v>0.88515734672546398</v>
      </c>
      <c r="F1371" s="3">
        <v>5.64437007904053</v>
      </c>
      <c r="G1371" s="3">
        <v>344</v>
      </c>
      <c r="H1371" s="4">
        <v>2000474</v>
      </c>
      <c r="I1371" s="3">
        <v>1.41778</v>
      </c>
      <c r="J1371" s="3">
        <v>121.12728421791439</v>
      </c>
      <c r="K1371" s="3">
        <v>76.804399819624834</v>
      </c>
    </row>
    <row r="1372" spans="1:11" x14ac:dyDescent="0.2">
      <c r="A1372" s="2" t="s">
        <v>135</v>
      </c>
      <c r="B1372" s="2" t="s">
        <v>136</v>
      </c>
      <c r="C1372" s="3">
        <v>2006</v>
      </c>
      <c r="D1372" s="3">
        <v>37539.459301666</v>
      </c>
      <c r="E1372" s="3">
        <v>0.95462793111801103</v>
      </c>
      <c r="F1372" s="3">
        <v>5.6220798492431596</v>
      </c>
      <c r="G1372" s="3">
        <v>287</v>
      </c>
      <c r="H1372" s="4">
        <v>2006868</v>
      </c>
      <c r="I1372" s="3">
        <v>1.53705</v>
      </c>
      <c r="J1372" s="3">
        <v>130.51791308615839</v>
      </c>
      <c r="K1372" s="3">
        <v>76.827608999660455</v>
      </c>
    </row>
    <row r="1373" spans="1:11" x14ac:dyDescent="0.2">
      <c r="A1373" s="2" t="s">
        <v>135</v>
      </c>
      <c r="B1373" s="2" t="s">
        <v>136</v>
      </c>
      <c r="C1373" s="3">
        <v>2007</v>
      </c>
      <c r="D1373" s="3">
        <v>39995.205293839666</v>
      </c>
      <c r="E1373" s="3">
        <v>0.88873052597045898</v>
      </c>
      <c r="F1373" s="3">
        <v>5.1366000175476101</v>
      </c>
      <c r="G1373" s="3">
        <v>331</v>
      </c>
      <c r="H1373" s="4">
        <v>2018122</v>
      </c>
      <c r="I1373" s="3">
        <v>1.42703</v>
      </c>
      <c r="J1373" s="3">
        <v>137.66309435101999</v>
      </c>
      <c r="K1373" s="3">
        <v>76.996537078770913</v>
      </c>
    </row>
    <row r="1374" spans="1:11" x14ac:dyDescent="0.2">
      <c r="A1374" s="2" t="s">
        <v>135</v>
      </c>
      <c r="B1374" s="2" t="s">
        <v>136</v>
      </c>
      <c r="C1374" s="3">
        <v>2008</v>
      </c>
      <c r="D1374" s="3">
        <v>41278.609085634147</v>
      </c>
      <c r="E1374" s="3">
        <v>1.1138104200363199</v>
      </c>
      <c r="F1374" s="3">
        <v>5.1343898773193404</v>
      </c>
      <c r="G1374" s="3">
        <v>301</v>
      </c>
      <c r="H1374" s="4">
        <v>2021316</v>
      </c>
      <c r="I1374" s="3">
        <v>1.62673</v>
      </c>
      <c r="J1374" s="3">
        <v>135.3870936648016</v>
      </c>
      <c r="K1374" s="3">
        <v>77.149924707155577</v>
      </c>
    </row>
    <row r="1375" spans="1:11" x14ac:dyDescent="0.2">
      <c r="A1375" s="2" t="s">
        <v>135</v>
      </c>
      <c r="B1375" s="2" t="s">
        <v>136</v>
      </c>
      <c r="C1375" s="3">
        <v>2009</v>
      </c>
      <c r="D1375" s="3">
        <v>37802.088018675509</v>
      </c>
      <c r="E1375" s="3">
        <v>1.14303851127625</v>
      </c>
      <c r="F1375" s="3">
        <v>5.6207900047302202</v>
      </c>
      <c r="G1375" s="3">
        <v>373</v>
      </c>
      <c r="H1375" s="4">
        <v>2039669</v>
      </c>
      <c r="I1375" s="3">
        <v>1.8118399999999999</v>
      </c>
      <c r="J1375" s="3">
        <v>114.4823010236378</v>
      </c>
      <c r="K1375" s="3">
        <v>77.826645185043731</v>
      </c>
    </row>
    <row r="1376" spans="1:11" x14ac:dyDescent="0.2">
      <c r="A1376" s="2" t="s">
        <v>135</v>
      </c>
      <c r="B1376" s="2" t="s">
        <v>136</v>
      </c>
      <c r="C1376" s="3">
        <v>2010</v>
      </c>
      <c r="D1376" s="3">
        <v>38056.181524177518</v>
      </c>
      <c r="E1376" s="3">
        <v>1.0147858858108501</v>
      </c>
      <c r="F1376" s="3">
        <v>5.5936298370361301</v>
      </c>
      <c r="G1376" s="3">
        <v>442</v>
      </c>
      <c r="H1376" s="4">
        <v>2048583</v>
      </c>
      <c r="I1376" s="3">
        <v>2.0513300000000001</v>
      </c>
      <c r="J1376" s="3">
        <v>128.60657542536251</v>
      </c>
      <c r="K1376" s="3">
        <v>78.084391267719212</v>
      </c>
    </row>
    <row r="1377" spans="1:11" x14ac:dyDescent="0.2">
      <c r="A1377" s="2" t="s">
        <v>135</v>
      </c>
      <c r="B1377" s="2" t="s">
        <v>136</v>
      </c>
      <c r="C1377" s="3">
        <v>2011</v>
      </c>
      <c r="D1377" s="3">
        <v>38226.125548990283</v>
      </c>
      <c r="E1377" s="3">
        <v>0.97692596912384</v>
      </c>
      <c r="F1377" s="3">
        <v>5.5829000473022496</v>
      </c>
      <c r="G1377" s="3">
        <v>470</v>
      </c>
      <c r="H1377" s="4">
        <v>2052843</v>
      </c>
      <c r="I1377" s="3">
        <v>2.4129700000000001</v>
      </c>
      <c r="J1377" s="3">
        <v>140.33235575031881</v>
      </c>
      <c r="K1377" s="3">
        <v>78.55762237501061</v>
      </c>
    </row>
    <row r="1378" spans="1:11" x14ac:dyDescent="0.2">
      <c r="A1378" s="2" t="s">
        <v>135</v>
      </c>
      <c r="B1378" s="2" t="s">
        <v>136</v>
      </c>
      <c r="C1378" s="3">
        <v>2012</v>
      </c>
      <c r="D1378" s="3">
        <v>37033.766754188619</v>
      </c>
      <c r="E1378" s="3">
        <v>1.018315076828</v>
      </c>
      <c r="F1378" s="3">
        <v>5.6702299118042001</v>
      </c>
      <c r="G1378" s="2"/>
      <c r="H1378" s="4">
        <v>2057159</v>
      </c>
      <c r="I1378" s="3">
        <v>2.5606100000000001</v>
      </c>
      <c r="J1378" s="3">
        <v>143.65644857297539</v>
      </c>
      <c r="K1378" s="3">
        <v>80.136353441982862</v>
      </c>
    </row>
    <row r="1379" spans="1:11" x14ac:dyDescent="0.2">
      <c r="A1379" s="2" t="s">
        <v>135</v>
      </c>
      <c r="B1379" s="2" t="s">
        <v>136</v>
      </c>
      <c r="C1379" s="3">
        <v>2013</v>
      </c>
      <c r="D1379" s="3">
        <v>36678.874664209623</v>
      </c>
      <c r="E1379" s="3">
        <v>1.00098669528961</v>
      </c>
      <c r="F1379" s="3">
        <v>5.4676799774169904</v>
      </c>
      <c r="G1379" s="2"/>
      <c r="H1379" s="4">
        <v>2059953</v>
      </c>
      <c r="I1379" s="3">
        <v>2.56487</v>
      </c>
      <c r="J1379" s="3">
        <v>145.1687894324026</v>
      </c>
      <c r="K1379" s="3">
        <v>80.010678626602157</v>
      </c>
    </row>
    <row r="1380" spans="1:11" x14ac:dyDescent="0.2">
      <c r="A1380" s="2" t="s">
        <v>135</v>
      </c>
      <c r="B1380" s="2" t="s">
        <v>136</v>
      </c>
      <c r="C1380" s="3">
        <v>2014</v>
      </c>
      <c r="D1380" s="3">
        <v>37655.197989807348</v>
      </c>
      <c r="E1380" s="3">
        <v>0.99618834257125899</v>
      </c>
      <c r="F1380" s="3">
        <v>5.3432898521423304</v>
      </c>
      <c r="G1380" s="2"/>
      <c r="H1380" s="4">
        <v>2061980</v>
      </c>
      <c r="I1380" s="3">
        <v>2.3654799999999998</v>
      </c>
      <c r="J1380" s="3">
        <v>146.47170509674629</v>
      </c>
      <c r="K1380" s="3">
        <v>80.559512798149569</v>
      </c>
    </row>
    <row r="1381" spans="1:11" x14ac:dyDescent="0.2">
      <c r="A1381" s="2" t="s">
        <v>135</v>
      </c>
      <c r="B1381" s="2" t="s">
        <v>136</v>
      </c>
      <c r="C1381" s="3">
        <v>2015</v>
      </c>
      <c r="D1381" s="3">
        <v>38527.422254968267</v>
      </c>
      <c r="E1381" s="3">
        <v>0.93679958581924405</v>
      </c>
      <c r="F1381" s="3">
        <v>4.9552898406982404</v>
      </c>
      <c r="G1381" s="2"/>
      <c r="H1381" s="4">
        <v>2063531</v>
      </c>
      <c r="I1381" s="3">
        <v>2.1956500000000001</v>
      </c>
      <c r="J1381" s="3">
        <v>147.2183677145031</v>
      </c>
      <c r="K1381" s="3">
        <v>80.292253076988374</v>
      </c>
    </row>
    <row r="1382" spans="1:11" x14ac:dyDescent="0.2">
      <c r="A1382" s="2" t="s">
        <v>135</v>
      </c>
      <c r="B1382" s="2" t="s">
        <v>136</v>
      </c>
      <c r="C1382" s="3">
        <v>2016</v>
      </c>
      <c r="D1382" s="3">
        <v>39667.457983007233</v>
      </c>
      <c r="E1382" s="3">
        <v>1.0871233940124501</v>
      </c>
      <c r="F1382" s="3">
        <v>4.8441901206970197</v>
      </c>
      <c r="G1382" s="2"/>
      <c r="H1382" s="4">
        <v>2065042</v>
      </c>
      <c r="I1382" s="3">
        <v>2.0076399999999999</v>
      </c>
      <c r="J1382" s="3">
        <v>148.23844808038751</v>
      </c>
      <c r="K1382" s="3">
        <v>80.417351392071964</v>
      </c>
    </row>
    <row r="1383" spans="1:11" x14ac:dyDescent="0.2">
      <c r="A1383" s="2" t="s">
        <v>135</v>
      </c>
      <c r="B1383" s="2" t="s">
        <v>136</v>
      </c>
      <c r="C1383" s="3">
        <v>2017</v>
      </c>
      <c r="D1383" s="3">
        <v>41692.836279788033</v>
      </c>
      <c r="E1383" s="3">
        <v>1.1292372941970801</v>
      </c>
      <c r="F1383" s="3">
        <v>4.8238101005554199</v>
      </c>
      <c r="G1383" s="2"/>
      <c r="H1383" s="4">
        <v>2066388</v>
      </c>
      <c r="I1383" s="3">
        <v>1.8653</v>
      </c>
      <c r="J1383" s="3">
        <v>158.70213584467021</v>
      </c>
      <c r="K1383" s="3">
        <v>80.416163003989482</v>
      </c>
    </row>
    <row r="1384" spans="1:11" x14ac:dyDescent="0.2">
      <c r="A1384" s="2" t="s">
        <v>135</v>
      </c>
      <c r="B1384" s="2" t="s">
        <v>136</v>
      </c>
      <c r="C1384" s="3">
        <v>2018</v>
      </c>
      <c r="D1384" s="3">
        <v>43361.094447431038</v>
      </c>
      <c r="E1384" s="3">
        <v>1.0822386741638199</v>
      </c>
      <c r="F1384" s="3">
        <v>4.9794898033142099</v>
      </c>
      <c r="G1384" s="3">
        <v>255</v>
      </c>
      <c r="H1384" s="4">
        <v>2073894</v>
      </c>
      <c r="I1384" s="3">
        <v>1.9459299999999999</v>
      </c>
      <c r="J1384" s="3">
        <v>162.61349397585059</v>
      </c>
      <c r="K1384" s="3">
        <v>80.130933010780069</v>
      </c>
    </row>
    <row r="1385" spans="1:11" x14ac:dyDescent="0.2">
      <c r="A1385" s="2" t="s">
        <v>135</v>
      </c>
      <c r="B1385" s="2" t="s">
        <v>136</v>
      </c>
      <c r="C1385" s="3">
        <v>2019</v>
      </c>
      <c r="D1385" s="3">
        <v>44569.587841653512</v>
      </c>
      <c r="E1385" s="3">
        <v>1.0417844057083101</v>
      </c>
      <c r="F1385" s="3">
        <v>4.9347901344299299</v>
      </c>
      <c r="G1385" s="2"/>
      <c r="H1385" s="4">
        <v>2088385</v>
      </c>
      <c r="I1385" s="3">
        <v>2.0392199999999998</v>
      </c>
      <c r="J1385" s="3">
        <v>160.04427568524869</v>
      </c>
      <c r="K1385" s="3">
        <v>80.167916068245475</v>
      </c>
    </row>
    <row r="1386" spans="1:11" x14ac:dyDescent="0.2">
      <c r="A1386" s="2" t="s">
        <v>135</v>
      </c>
      <c r="B1386" s="2" t="s">
        <v>136</v>
      </c>
      <c r="C1386" s="3">
        <v>2020</v>
      </c>
      <c r="D1386" s="3">
        <v>42463.563534619447</v>
      </c>
      <c r="E1386" s="3">
        <v>1.1211736202239999</v>
      </c>
      <c r="F1386" s="3">
        <v>5.4190101623535201</v>
      </c>
      <c r="G1386" s="3">
        <v>232</v>
      </c>
      <c r="H1386" s="4">
        <v>2102419</v>
      </c>
      <c r="I1386" s="3">
        <v>2.1415600000000001</v>
      </c>
      <c r="J1386" s="3">
        <v>147.54900858494159</v>
      </c>
      <c r="K1386" s="3">
        <v>80.814872835497809</v>
      </c>
    </row>
    <row r="1387" spans="1:11" x14ac:dyDescent="0.2">
      <c r="A1387" s="2" t="s">
        <v>135</v>
      </c>
      <c r="B1387" s="2" t="s">
        <v>136</v>
      </c>
      <c r="C1387" s="3">
        <v>2021</v>
      </c>
      <c r="D1387" s="3">
        <v>45914.057239240552</v>
      </c>
      <c r="E1387" s="3">
        <v>1.13730704784393</v>
      </c>
      <c r="F1387" s="3">
        <v>5.3916702270507804</v>
      </c>
      <c r="G1387" s="3">
        <v>222</v>
      </c>
      <c r="H1387" s="4">
        <v>2108079</v>
      </c>
      <c r="I1387" s="3">
        <v>2.1280000000000001</v>
      </c>
      <c r="J1387" s="3">
        <v>161.78872751143871</v>
      </c>
      <c r="K1387" s="3">
        <v>80.29760544520839</v>
      </c>
    </row>
    <row r="1388" spans="1:11" x14ac:dyDescent="0.2">
      <c r="A1388" s="2" t="s">
        <v>137</v>
      </c>
      <c r="B1388" s="2" t="s">
        <v>138</v>
      </c>
      <c r="C1388" s="3">
        <v>2000</v>
      </c>
      <c r="D1388" s="3">
        <v>11183.825503143031</v>
      </c>
      <c r="E1388" s="3">
        <v>0.64590936899185203</v>
      </c>
      <c r="F1388" s="3">
        <v>4.9088101387023899</v>
      </c>
      <c r="G1388" s="3">
        <v>895</v>
      </c>
      <c r="H1388" s="4">
        <v>47159719</v>
      </c>
      <c r="I1388" s="2"/>
      <c r="J1388" s="3">
        <v>46.220721735407658</v>
      </c>
      <c r="K1388" s="3">
        <v>56.271581438332923</v>
      </c>
    </row>
    <row r="1389" spans="1:11" x14ac:dyDescent="0.2">
      <c r="A1389" s="2" t="s">
        <v>137</v>
      </c>
      <c r="B1389" s="2" t="s">
        <v>138</v>
      </c>
      <c r="C1389" s="3">
        <v>2001</v>
      </c>
      <c r="D1389" s="3">
        <v>11387.49236678196</v>
      </c>
      <c r="E1389" s="2"/>
      <c r="F1389" s="3">
        <v>4.6361799240112296</v>
      </c>
      <c r="G1389" s="3">
        <v>966</v>
      </c>
      <c r="H1389" s="4">
        <v>47566800</v>
      </c>
      <c r="I1389" s="3">
        <v>0.64224000000000003</v>
      </c>
      <c r="J1389" s="3">
        <v>49.170945185829027</v>
      </c>
      <c r="K1389" s="3">
        <v>56.331370117137773</v>
      </c>
    </row>
    <row r="1390" spans="1:11" x14ac:dyDescent="0.2">
      <c r="A1390" s="2" t="s">
        <v>137</v>
      </c>
      <c r="B1390" s="2" t="s">
        <v>138</v>
      </c>
      <c r="C1390" s="3">
        <v>2002</v>
      </c>
      <c r="D1390" s="3">
        <v>11697.565726168679</v>
      </c>
      <c r="E1390" s="3">
        <v>0.60783141851425204</v>
      </c>
      <c r="F1390" s="3">
        <v>4.5456900596618697</v>
      </c>
      <c r="G1390" s="3">
        <v>983</v>
      </c>
      <c r="H1390" s="4">
        <v>48019415</v>
      </c>
      <c r="I1390" s="2"/>
      <c r="J1390" s="3">
        <v>53.465501629436851</v>
      </c>
      <c r="K1390" s="3">
        <v>56.710654407520579</v>
      </c>
    </row>
    <row r="1391" spans="1:11" x14ac:dyDescent="0.2">
      <c r="A1391" s="2" t="s">
        <v>137</v>
      </c>
      <c r="B1391" s="2" t="s">
        <v>138</v>
      </c>
      <c r="C1391" s="3">
        <v>2003</v>
      </c>
      <c r="D1391" s="3">
        <v>11923.12110136326</v>
      </c>
      <c r="E1391" s="3">
        <v>0.59958004951477095</v>
      </c>
      <c r="F1391" s="3">
        <v>4.3520998954772896</v>
      </c>
      <c r="G1391" s="3">
        <v>922</v>
      </c>
      <c r="H1391" s="4">
        <v>48500348</v>
      </c>
      <c r="I1391" s="3">
        <v>0.67649999999999999</v>
      </c>
      <c r="J1391" s="3">
        <v>45.723862568978952</v>
      </c>
      <c r="K1391" s="3">
        <v>56.247776443001442</v>
      </c>
    </row>
    <row r="1392" spans="1:11" x14ac:dyDescent="0.2">
      <c r="A1392" s="2" t="s">
        <v>137</v>
      </c>
      <c r="B1392" s="2" t="s">
        <v>138</v>
      </c>
      <c r="C1392" s="3">
        <v>2004</v>
      </c>
      <c r="D1392" s="3">
        <v>12341.21026558284</v>
      </c>
      <c r="E1392" s="3">
        <v>0.55914008617401101</v>
      </c>
      <c r="F1392" s="3">
        <v>4.5089797973632804</v>
      </c>
      <c r="G1392" s="3">
        <v>956</v>
      </c>
      <c r="H1392" s="4">
        <v>48991421</v>
      </c>
      <c r="I1392" s="3">
        <v>0.72680999999999996</v>
      </c>
      <c r="J1392" s="3">
        <v>45.64357522400406</v>
      </c>
      <c r="K1392" s="3">
        <v>56.359942105933293</v>
      </c>
    </row>
    <row r="1393" spans="1:11" x14ac:dyDescent="0.2">
      <c r="A1393" s="2" t="s">
        <v>137</v>
      </c>
      <c r="B1393" s="2" t="s">
        <v>138</v>
      </c>
      <c r="C1393" s="3">
        <v>2005</v>
      </c>
      <c r="D1393" s="3">
        <v>12861.563308911371</v>
      </c>
      <c r="E1393" s="3">
        <v>0.56705784797668501</v>
      </c>
      <c r="F1393" s="3">
        <v>4.5244998931884801</v>
      </c>
      <c r="G1393" s="3">
        <v>1003</v>
      </c>
      <c r="H1393" s="4">
        <v>49490033</v>
      </c>
      <c r="I1393" s="3">
        <v>0.77024000000000004</v>
      </c>
      <c r="J1393" s="3">
        <v>47.427781397032902</v>
      </c>
      <c r="K1393" s="3">
        <v>56.483622277395803</v>
      </c>
    </row>
    <row r="1394" spans="1:11" x14ac:dyDescent="0.2">
      <c r="A1394" s="2" t="s">
        <v>137</v>
      </c>
      <c r="B1394" s="2" t="s">
        <v>138</v>
      </c>
      <c r="C1394" s="3">
        <v>2006</v>
      </c>
      <c r="D1394" s="3">
        <v>13444.233212605761</v>
      </c>
      <c r="E1394" s="3">
        <v>0.32510137557983398</v>
      </c>
      <c r="F1394" s="3">
        <v>4.5265197753906197</v>
      </c>
      <c r="G1394" s="3">
        <v>866</v>
      </c>
      <c r="H1394" s="4">
        <v>49998277</v>
      </c>
      <c r="I1394" s="3">
        <v>0.80291000000000001</v>
      </c>
      <c r="J1394" s="3">
        <v>53.768141274114527</v>
      </c>
      <c r="K1394" s="3">
        <v>56.783825299210598</v>
      </c>
    </row>
    <row r="1395" spans="1:11" x14ac:dyDescent="0.2">
      <c r="A1395" s="2" t="s">
        <v>137</v>
      </c>
      <c r="B1395" s="2" t="s">
        <v>138</v>
      </c>
      <c r="C1395" s="3">
        <v>2007</v>
      </c>
      <c r="D1395" s="3">
        <v>14016.2444716386</v>
      </c>
      <c r="E1395" s="3">
        <v>0.28343117237091098</v>
      </c>
      <c r="F1395" s="3">
        <v>4.4466700553893999</v>
      </c>
      <c r="G1395" s="3">
        <v>915</v>
      </c>
      <c r="H1395" s="4">
        <v>50528584</v>
      </c>
      <c r="I1395" s="3">
        <v>0.79364000000000001</v>
      </c>
      <c r="J1395" s="3">
        <v>57.125139137746963</v>
      </c>
      <c r="K1395" s="3">
        <v>57.216157142857142</v>
      </c>
    </row>
    <row r="1396" spans="1:11" x14ac:dyDescent="0.2">
      <c r="A1396" s="2" t="s">
        <v>137</v>
      </c>
      <c r="B1396" s="2" t="s">
        <v>138</v>
      </c>
      <c r="C1396" s="3">
        <v>2008</v>
      </c>
      <c r="D1396" s="3">
        <v>14297.68878026325</v>
      </c>
      <c r="E1396" s="3">
        <v>0.33217850327491799</v>
      </c>
      <c r="F1396" s="3">
        <v>4.37424993515015</v>
      </c>
      <c r="G1396" s="3">
        <v>860</v>
      </c>
      <c r="H1396" s="4">
        <v>51114599</v>
      </c>
      <c r="I1396" s="3">
        <v>0.80567</v>
      </c>
      <c r="J1396" s="3">
        <v>65.974523799623313</v>
      </c>
      <c r="K1396" s="3">
        <v>57.713529454205933</v>
      </c>
    </row>
    <row r="1397" spans="1:11" x14ac:dyDescent="0.2">
      <c r="A1397" s="2" t="s">
        <v>137</v>
      </c>
      <c r="B1397" s="2" t="s">
        <v>138</v>
      </c>
      <c r="C1397" s="3">
        <v>2009</v>
      </c>
      <c r="D1397" s="3">
        <v>13910.701709339381</v>
      </c>
      <c r="E1397" s="3">
        <v>0.310807675123215</v>
      </c>
      <c r="F1397" s="3">
        <v>4.7611899375915501</v>
      </c>
      <c r="G1397" s="3">
        <v>822</v>
      </c>
      <c r="H1397" s="4">
        <v>51728516</v>
      </c>
      <c r="I1397" s="3">
        <v>0.74992999999999999</v>
      </c>
      <c r="J1397" s="3">
        <v>49.587535327880097</v>
      </c>
      <c r="K1397" s="3">
        <v>58.037701776165008</v>
      </c>
    </row>
    <row r="1398" spans="1:11" x14ac:dyDescent="0.2">
      <c r="A1398" s="2" t="s">
        <v>137</v>
      </c>
      <c r="B1398" s="2" t="s">
        <v>138</v>
      </c>
      <c r="C1398" s="3">
        <v>2010</v>
      </c>
      <c r="D1398" s="3">
        <v>14164.995836311549</v>
      </c>
      <c r="E1398" s="3">
        <v>0.191702410578728</v>
      </c>
      <c r="F1398" s="3">
        <v>5.13497018814087</v>
      </c>
      <c r="G1398" s="3">
        <v>821</v>
      </c>
      <c r="H1398" s="4">
        <v>52344051</v>
      </c>
      <c r="I1398" s="3">
        <v>0.66283999999999998</v>
      </c>
      <c r="J1398" s="3">
        <v>50.406087162599917</v>
      </c>
      <c r="K1398" s="3">
        <v>58.587715111195998</v>
      </c>
    </row>
    <row r="1399" spans="1:11" x14ac:dyDescent="0.2">
      <c r="A1399" s="2" t="s">
        <v>137</v>
      </c>
      <c r="B1399" s="2" t="s">
        <v>138</v>
      </c>
      <c r="C1399" s="3">
        <v>2011</v>
      </c>
      <c r="D1399" s="3">
        <v>14434.261145604811</v>
      </c>
      <c r="E1399" s="3">
        <v>0.21755965054035201</v>
      </c>
      <c r="F1399" s="3">
        <v>5.28898000717163</v>
      </c>
      <c r="G1399" s="3">
        <v>656</v>
      </c>
      <c r="H1399" s="4">
        <v>52995205</v>
      </c>
      <c r="I1399" s="3">
        <v>0.66752999999999996</v>
      </c>
      <c r="J1399" s="3">
        <v>54.636350435897121</v>
      </c>
      <c r="K1399" s="3">
        <v>59.075142275698163</v>
      </c>
    </row>
    <row r="1400" spans="1:11" x14ac:dyDescent="0.2">
      <c r="A1400" s="2" t="s">
        <v>137</v>
      </c>
      <c r="B1400" s="2" t="s">
        <v>138</v>
      </c>
      <c r="C1400" s="3">
        <v>2012</v>
      </c>
      <c r="D1400" s="3">
        <v>14563.76240410324</v>
      </c>
      <c r="E1400" s="3">
        <v>0.170115306973457</v>
      </c>
      <c r="F1400" s="3">
        <v>5.5232300758361799</v>
      </c>
      <c r="G1400" s="3">
        <v>608</v>
      </c>
      <c r="H1400" s="4">
        <v>53782567</v>
      </c>
      <c r="I1400" s="3">
        <v>0.66934000000000005</v>
      </c>
      <c r="J1400" s="3">
        <v>55.582617193334457</v>
      </c>
      <c r="K1400" s="3">
        <v>59.192700935828888</v>
      </c>
    </row>
    <row r="1401" spans="1:11" x14ac:dyDescent="0.2">
      <c r="A1401" s="2" t="s">
        <v>137</v>
      </c>
      <c r="B1401" s="2" t="s">
        <v>138</v>
      </c>
      <c r="C1401" s="3">
        <v>2013</v>
      </c>
      <c r="D1401" s="3">
        <v>14681.09663895704</v>
      </c>
      <c r="E1401" s="3">
        <v>0.30602103471755998</v>
      </c>
      <c r="F1401" s="3">
        <v>5.3507199287414604</v>
      </c>
      <c r="G1401" s="3">
        <v>638</v>
      </c>
      <c r="H1401" s="4">
        <v>54678791</v>
      </c>
      <c r="I1401" s="3">
        <v>0.6633</v>
      </c>
      <c r="J1401" s="3">
        <v>58.875027630051022</v>
      </c>
      <c r="K1401" s="3">
        <v>59.453596649265762</v>
      </c>
    </row>
    <row r="1402" spans="1:11" x14ac:dyDescent="0.2">
      <c r="A1402" s="2" t="s">
        <v>137</v>
      </c>
      <c r="B1402" s="2" t="s">
        <v>138</v>
      </c>
      <c r="C1402" s="3">
        <v>2014</v>
      </c>
      <c r="D1402" s="3">
        <v>14643.33847829363</v>
      </c>
      <c r="E1402" s="3">
        <v>0.165043815970421</v>
      </c>
      <c r="F1402" s="3">
        <v>5.4897799491882298</v>
      </c>
      <c r="G1402" s="3">
        <v>802</v>
      </c>
      <c r="H1402" s="4">
        <v>55594838</v>
      </c>
      <c r="I1402" s="3">
        <v>0.70987</v>
      </c>
      <c r="J1402" s="3">
        <v>59.499574055059263</v>
      </c>
      <c r="K1402" s="3">
        <v>59.933665917579162</v>
      </c>
    </row>
    <row r="1403" spans="1:11" x14ac:dyDescent="0.2">
      <c r="A1403" s="2" t="s">
        <v>137</v>
      </c>
      <c r="B1403" s="2" t="s">
        <v>138</v>
      </c>
      <c r="C1403" s="3">
        <v>2015</v>
      </c>
      <c r="D1403" s="3">
        <v>14541.67486136687</v>
      </c>
      <c r="E1403" s="3">
        <v>8.73290970921516E-2</v>
      </c>
      <c r="F1403" s="3">
        <v>5.48285007476807</v>
      </c>
      <c r="G1403" s="3">
        <v>889</v>
      </c>
      <c r="H1403" s="4">
        <v>56723537</v>
      </c>
      <c r="I1403" s="3">
        <v>0.73146999999999995</v>
      </c>
      <c r="J1403" s="3">
        <v>56.726676144715633</v>
      </c>
      <c r="K1403" s="3">
        <v>61.589935718529837</v>
      </c>
    </row>
    <row r="1404" spans="1:11" x14ac:dyDescent="0.2">
      <c r="A1404" s="2" t="s">
        <v>137</v>
      </c>
      <c r="B1404" s="2" t="s">
        <v>138</v>
      </c>
      <c r="C1404" s="3">
        <v>2016</v>
      </c>
      <c r="D1404" s="3">
        <v>14501.2807823402</v>
      </c>
      <c r="E1404" s="3">
        <v>0.101402580738068</v>
      </c>
      <c r="F1404" s="3">
        <v>5.4442400932312003</v>
      </c>
      <c r="G1404" s="3">
        <v>704</v>
      </c>
      <c r="H1404" s="4">
        <v>57259551</v>
      </c>
      <c r="I1404" s="3">
        <v>0.74992000000000003</v>
      </c>
      <c r="J1404" s="3">
        <v>55.861257504878189</v>
      </c>
      <c r="K1404" s="3">
        <v>61.780418139376962</v>
      </c>
    </row>
    <row r="1405" spans="1:11" x14ac:dyDescent="0.2">
      <c r="A1405" s="2" t="s">
        <v>137</v>
      </c>
      <c r="B1405" s="2" t="s">
        <v>138</v>
      </c>
      <c r="C1405" s="3">
        <v>2017</v>
      </c>
      <c r="D1405" s="3">
        <v>14573.598084000419</v>
      </c>
      <c r="E1405" s="3">
        <v>7.0795923471450806E-2</v>
      </c>
      <c r="F1405" s="3">
        <v>5.5986700057983398</v>
      </c>
      <c r="G1405" s="3">
        <v>728</v>
      </c>
      <c r="H1405" s="4">
        <v>57635162</v>
      </c>
      <c r="I1405" s="3">
        <v>0.76256999999999997</v>
      </c>
      <c r="J1405" s="3">
        <v>53.535931829374093</v>
      </c>
      <c r="K1405" s="3">
        <v>62.193456436210838</v>
      </c>
    </row>
    <row r="1406" spans="1:11" x14ac:dyDescent="0.2">
      <c r="A1406" s="2" t="s">
        <v>137</v>
      </c>
      <c r="B1406" s="2" t="s">
        <v>138</v>
      </c>
      <c r="C1406" s="3">
        <v>2018</v>
      </c>
      <c r="D1406" s="3">
        <v>14553.561566895731</v>
      </c>
      <c r="E1406" s="3">
        <v>0.103647440671921</v>
      </c>
      <c r="F1406" s="3">
        <v>5.6440100669860804</v>
      </c>
      <c r="G1406" s="3">
        <v>657</v>
      </c>
      <c r="H1406" s="4">
        <v>58613001</v>
      </c>
      <c r="I1406" s="3">
        <v>0.68586000000000003</v>
      </c>
      <c r="J1406" s="3">
        <v>54.485545127634062</v>
      </c>
      <c r="K1406" s="3">
        <v>62.09091430056872</v>
      </c>
    </row>
    <row r="1407" spans="1:11" x14ac:dyDescent="0.2">
      <c r="A1407" s="2" t="s">
        <v>137</v>
      </c>
      <c r="B1407" s="2" t="s">
        <v>138</v>
      </c>
      <c r="C1407" s="3">
        <v>2019</v>
      </c>
      <c r="D1407" s="3">
        <v>14352.66987098708</v>
      </c>
      <c r="E1407" s="3">
        <v>0.12797115743160201</v>
      </c>
      <c r="F1407" s="3">
        <v>5.9115800857543999</v>
      </c>
      <c r="G1407" s="3">
        <v>567</v>
      </c>
      <c r="H1407" s="4">
        <v>59587885</v>
      </c>
      <c r="I1407" s="3">
        <v>0.61304000000000003</v>
      </c>
      <c r="J1407" s="3">
        <v>53.8979964081406</v>
      </c>
      <c r="K1407" s="3">
        <v>62.538988309566243</v>
      </c>
    </row>
    <row r="1408" spans="1:11" x14ac:dyDescent="0.2">
      <c r="A1408" s="2" t="s">
        <v>137</v>
      </c>
      <c r="B1408" s="2" t="s">
        <v>138</v>
      </c>
      <c r="C1408" s="3">
        <v>2020</v>
      </c>
      <c r="D1408" s="3">
        <v>13250.56665944564</v>
      </c>
      <c r="E1408" s="3">
        <v>4.6534523367881803E-2</v>
      </c>
      <c r="F1408" s="3">
        <v>6.1706700325012198</v>
      </c>
      <c r="G1408" s="3">
        <v>542</v>
      </c>
      <c r="H1408" s="4">
        <v>60562381</v>
      </c>
      <c r="I1408" s="3">
        <v>0.60240000000000005</v>
      </c>
      <c r="J1408" s="3">
        <v>50.759659080417663</v>
      </c>
      <c r="K1408" s="3">
        <v>63.504182550292839</v>
      </c>
    </row>
    <row r="1409" spans="1:11" x14ac:dyDescent="0.2">
      <c r="A1409" s="2" t="s">
        <v>137</v>
      </c>
      <c r="B1409" s="2" t="s">
        <v>138</v>
      </c>
      <c r="C1409" s="3">
        <v>2021</v>
      </c>
      <c r="D1409" s="3">
        <v>13681.954814481311</v>
      </c>
      <c r="E1409" s="3">
        <v>-7.0130370557308197E-2</v>
      </c>
      <c r="F1409" s="3">
        <v>6.5551700592040998</v>
      </c>
      <c r="G1409" s="3">
        <v>1804</v>
      </c>
      <c r="H1409" s="4">
        <v>61502603</v>
      </c>
      <c r="I1409" s="3">
        <v>0.61502999999999997</v>
      </c>
      <c r="J1409" s="3">
        <v>56.16471362775458</v>
      </c>
      <c r="K1409" s="3">
        <v>63.849057189542478</v>
      </c>
    </row>
    <row r="1410" spans="1:11" x14ac:dyDescent="0.2">
      <c r="A1410" s="2" t="s">
        <v>139</v>
      </c>
      <c r="B1410" s="2" t="s">
        <v>140</v>
      </c>
      <c r="C1410" s="3">
        <v>2000</v>
      </c>
      <c r="D1410" s="3">
        <v>39945.897129817829</v>
      </c>
      <c r="E1410" s="3">
        <v>1.68575727939606</v>
      </c>
      <c r="F1410" s="3">
        <v>4.1678600311279297</v>
      </c>
      <c r="G1410" s="3">
        <v>2710</v>
      </c>
      <c r="H1410" s="4">
        <v>40567864</v>
      </c>
      <c r="I1410" s="3">
        <v>0.88275999999999999</v>
      </c>
      <c r="J1410" s="3">
        <v>60.121624104921644</v>
      </c>
      <c r="K1410" s="3">
        <v>74.091829736440019</v>
      </c>
    </row>
    <row r="1411" spans="1:11" x14ac:dyDescent="0.2">
      <c r="A1411" s="2" t="s">
        <v>139</v>
      </c>
      <c r="B1411" s="2" t="s">
        <v>140</v>
      </c>
      <c r="C1411" s="3">
        <v>2001</v>
      </c>
      <c r="D1411" s="3">
        <v>41224.292405739317</v>
      </c>
      <c r="E1411" s="2"/>
      <c r="F1411" s="3">
        <v>4.1114702224731499</v>
      </c>
      <c r="G1411" s="3">
        <v>2528</v>
      </c>
      <c r="H1411" s="4">
        <v>40850412</v>
      </c>
      <c r="I1411" s="3">
        <v>0.88832999999999995</v>
      </c>
      <c r="J1411" s="3">
        <v>58.013889562570093</v>
      </c>
      <c r="K1411" s="3">
        <v>74.509084935489341</v>
      </c>
    </row>
    <row r="1412" spans="1:11" x14ac:dyDescent="0.2">
      <c r="A1412" s="2" t="s">
        <v>139</v>
      </c>
      <c r="B1412" s="2" t="s">
        <v>140</v>
      </c>
      <c r="C1412" s="3">
        <v>2002</v>
      </c>
      <c r="D1412" s="3">
        <v>41766.037818879056</v>
      </c>
      <c r="E1412" s="3">
        <v>1.78612041473389</v>
      </c>
      <c r="F1412" s="3">
        <v>4.1335101127624503</v>
      </c>
      <c r="G1412" s="3">
        <v>2763</v>
      </c>
      <c r="H1412" s="4">
        <v>41431558</v>
      </c>
      <c r="I1412" s="3">
        <v>0.95970999999999995</v>
      </c>
      <c r="J1412" s="3">
        <v>55.102141530975899</v>
      </c>
      <c r="K1412" s="3">
        <v>74.501953178847302</v>
      </c>
    </row>
    <row r="1413" spans="1:11" x14ac:dyDescent="0.2">
      <c r="A1413" s="2" t="s">
        <v>139</v>
      </c>
      <c r="B1413" s="2" t="s">
        <v>140</v>
      </c>
      <c r="C1413" s="3">
        <v>2003</v>
      </c>
      <c r="D1413" s="3">
        <v>42223.130174522033</v>
      </c>
      <c r="E1413" s="3">
        <v>1.8168071508407599</v>
      </c>
      <c r="F1413" s="3">
        <v>4.1712698936462402</v>
      </c>
      <c r="G1413" s="3">
        <v>2813</v>
      </c>
      <c r="H1413" s="4">
        <v>42187645</v>
      </c>
      <c r="I1413" s="3">
        <v>1.02373</v>
      </c>
      <c r="J1413" s="3">
        <v>53.435789720225792</v>
      </c>
      <c r="K1413" s="3">
        <v>75.029293580765653</v>
      </c>
    </row>
    <row r="1414" spans="1:11" x14ac:dyDescent="0.2">
      <c r="A1414" s="2" t="s">
        <v>139</v>
      </c>
      <c r="B1414" s="2" t="s">
        <v>140</v>
      </c>
      <c r="C1414" s="3">
        <v>2004</v>
      </c>
      <c r="D1414" s="3">
        <v>42793.390232600563</v>
      </c>
      <c r="E1414" s="3">
        <v>1.3322664499282799</v>
      </c>
      <c r="F1414" s="3">
        <v>4.1548500061035201</v>
      </c>
      <c r="G1414" s="3">
        <v>2871</v>
      </c>
      <c r="H1414" s="4">
        <v>42921895</v>
      </c>
      <c r="I1414" s="3">
        <v>1.0408900000000001</v>
      </c>
      <c r="J1414" s="3">
        <v>54.479518265607361</v>
      </c>
      <c r="K1414" s="3">
        <v>75.126710767337244</v>
      </c>
    </row>
    <row r="1415" spans="1:11" x14ac:dyDescent="0.2">
      <c r="A1415" s="2" t="s">
        <v>139</v>
      </c>
      <c r="B1415" s="2" t="s">
        <v>140</v>
      </c>
      <c r="C1415" s="3">
        <v>2005</v>
      </c>
      <c r="D1415" s="3">
        <v>43570.765257403269</v>
      </c>
      <c r="E1415" s="3">
        <v>1.5015742778778101</v>
      </c>
      <c r="F1415" s="3">
        <v>4.1409001350402797</v>
      </c>
      <c r="G1415" s="3">
        <v>3040</v>
      </c>
      <c r="H1415" s="4">
        <v>43653155</v>
      </c>
      <c r="I1415" s="3">
        <v>1.0995600000000001</v>
      </c>
      <c r="J1415" s="3">
        <v>54.69916670437722</v>
      </c>
      <c r="K1415" s="3">
        <v>75.516171248196244</v>
      </c>
    </row>
    <row r="1416" spans="1:11" x14ac:dyDescent="0.2">
      <c r="A1416" s="2" t="s">
        <v>139</v>
      </c>
      <c r="B1416" s="2" t="s">
        <v>140</v>
      </c>
      <c r="C1416" s="3">
        <v>2006</v>
      </c>
      <c r="D1416" s="3">
        <v>44572.681545993073</v>
      </c>
      <c r="E1416" s="3">
        <v>0.83016777038574197</v>
      </c>
      <c r="F1416" s="3">
        <v>4.1800198554992702</v>
      </c>
      <c r="G1416" s="3">
        <v>3111</v>
      </c>
      <c r="H1416" s="4">
        <v>44397319</v>
      </c>
      <c r="I1416" s="3">
        <v>1.17702</v>
      </c>
      <c r="J1416" s="3">
        <v>56.083926382321572</v>
      </c>
      <c r="K1416" s="3">
        <v>76.177861251167158</v>
      </c>
    </row>
    <row r="1417" spans="1:11" x14ac:dyDescent="0.2">
      <c r="A1417" s="2" t="s">
        <v>139</v>
      </c>
      <c r="B1417" s="2" t="s">
        <v>140</v>
      </c>
      <c r="C1417" s="3">
        <v>2007</v>
      </c>
      <c r="D1417" s="3">
        <v>45301.284341637453</v>
      </c>
      <c r="E1417" s="3">
        <v>0.98703819513320901</v>
      </c>
      <c r="F1417" s="3">
        <v>4.2461500167846697</v>
      </c>
      <c r="G1417" s="3">
        <v>3267</v>
      </c>
      <c r="H1417" s="4">
        <v>45226803</v>
      </c>
      <c r="I1417" s="3">
        <v>1.2405299999999999</v>
      </c>
      <c r="J1417" s="3">
        <v>57.626948765754634</v>
      </c>
      <c r="K1417" s="3">
        <v>76.384332567269325</v>
      </c>
    </row>
    <row r="1418" spans="1:11" x14ac:dyDescent="0.2">
      <c r="A1418" s="2" t="s">
        <v>139</v>
      </c>
      <c r="B1418" s="2" t="s">
        <v>140</v>
      </c>
      <c r="C1418" s="3">
        <v>2008</v>
      </c>
      <c r="D1418" s="3">
        <v>44926.348951812033</v>
      </c>
      <c r="E1418" s="3">
        <v>0.91250318288803101</v>
      </c>
      <c r="F1418" s="3">
        <v>4.5162901878356898</v>
      </c>
      <c r="G1418" s="3">
        <v>3632</v>
      </c>
      <c r="H1418" s="4">
        <v>45954106</v>
      </c>
      <c r="I1418" s="3">
        <v>1.325</v>
      </c>
      <c r="J1418" s="3">
        <v>55.828131517252288</v>
      </c>
      <c r="K1418" s="3">
        <v>76.671587662337643</v>
      </c>
    </row>
    <row r="1419" spans="1:11" x14ac:dyDescent="0.2">
      <c r="A1419" s="2" t="s">
        <v>139</v>
      </c>
      <c r="B1419" s="2" t="s">
        <v>140</v>
      </c>
      <c r="C1419" s="3">
        <v>2009</v>
      </c>
      <c r="D1419" s="3">
        <v>42852.220888453987</v>
      </c>
      <c r="E1419" s="3">
        <v>0.94168233871460005</v>
      </c>
      <c r="F1419" s="3">
        <v>4.8952097892761204</v>
      </c>
      <c r="G1419" s="3">
        <v>3596</v>
      </c>
      <c r="H1419" s="4">
        <v>46362946</v>
      </c>
      <c r="I1419" s="3">
        <v>1.36364</v>
      </c>
      <c r="J1419" s="3">
        <v>46.836689997110867</v>
      </c>
      <c r="K1419" s="3">
        <v>77.119470469399872</v>
      </c>
    </row>
    <row r="1420" spans="1:11" x14ac:dyDescent="0.2">
      <c r="A1420" s="2" t="s">
        <v>139</v>
      </c>
      <c r="B1420" s="2" t="s">
        <v>140</v>
      </c>
      <c r="C1420" s="3">
        <v>2010</v>
      </c>
      <c r="D1420" s="3">
        <v>42695.527418993253</v>
      </c>
      <c r="E1420" s="3">
        <v>0.94297415018081698</v>
      </c>
      <c r="F1420" s="3">
        <v>4.8360800743103001</v>
      </c>
      <c r="G1420" s="3">
        <v>3566</v>
      </c>
      <c r="H1420" s="4">
        <v>46576897</v>
      </c>
      <c r="I1420" s="3">
        <v>1.3599600000000001</v>
      </c>
      <c r="J1420" s="3">
        <v>52.693369973401907</v>
      </c>
      <c r="K1420" s="3">
        <v>77.476725324675343</v>
      </c>
    </row>
    <row r="1421" spans="1:11" x14ac:dyDescent="0.2">
      <c r="A1421" s="2" t="s">
        <v>139</v>
      </c>
      <c r="B1421" s="2" t="s">
        <v>140</v>
      </c>
      <c r="C1421" s="3">
        <v>2011</v>
      </c>
      <c r="D1421" s="3">
        <v>42271.83467882382</v>
      </c>
      <c r="E1421" s="3">
        <v>0.97240149974822998</v>
      </c>
      <c r="F1421" s="3">
        <v>4.7189798355102504</v>
      </c>
      <c r="G1421" s="3">
        <v>3430</v>
      </c>
      <c r="H1421" s="4">
        <v>46742697</v>
      </c>
      <c r="I1421" s="3">
        <v>1.33341</v>
      </c>
      <c r="J1421" s="3">
        <v>58.511822885963191</v>
      </c>
      <c r="K1421" s="3">
        <v>77.465725362872433</v>
      </c>
    </row>
    <row r="1422" spans="1:11" x14ac:dyDescent="0.2">
      <c r="A1422" s="2" t="s">
        <v>139</v>
      </c>
      <c r="B1422" s="2" t="s">
        <v>140</v>
      </c>
      <c r="C1422" s="3">
        <v>2012</v>
      </c>
      <c r="D1422" s="3">
        <v>41034.048156635632</v>
      </c>
      <c r="E1422" s="3">
        <v>1.05716216564178</v>
      </c>
      <c r="F1422" s="3">
        <v>4.4601101875305202</v>
      </c>
      <c r="G1422" s="3">
        <v>3266</v>
      </c>
      <c r="H1422" s="4">
        <v>46773055</v>
      </c>
      <c r="I1422" s="3">
        <v>1.2987599999999999</v>
      </c>
      <c r="J1422" s="3">
        <v>60.554034696186363</v>
      </c>
      <c r="K1422" s="3">
        <v>77.944596600458382</v>
      </c>
    </row>
    <row r="1423" spans="1:11" x14ac:dyDescent="0.2">
      <c r="A1423" s="2" t="s">
        <v>139</v>
      </c>
      <c r="B1423" s="2" t="s">
        <v>140</v>
      </c>
      <c r="C1423" s="3">
        <v>2013</v>
      </c>
      <c r="D1423" s="3">
        <v>40594.914008768021</v>
      </c>
      <c r="E1423" s="3">
        <v>1.16768598556519</v>
      </c>
      <c r="F1423" s="3">
        <v>4.3285198211669904</v>
      </c>
      <c r="G1423" s="3">
        <v>3026</v>
      </c>
      <c r="H1423" s="4">
        <v>46604197</v>
      </c>
      <c r="I1423" s="3">
        <v>1.2748200000000001</v>
      </c>
      <c r="J1423" s="3">
        <v>61.668772644132709</v>
      </c>
      <c r="K1423" s="3">
        <v>78.075593033273918</v>
      </c>
    </row>
    <row r="1424" spans="1:11" x14ac:dyDescent="0.2">
      <c r="A1424" s="2" t="s">
        <v>139</v>
      </c>
      <c r="B1424" s="2" t="s">
        <v>140</v>
      </c>
      <c r="C1424" s="3">
        <v>2014</v>
      </c>
      <c r="D1424" s="3">
        <v>41339.411116941657</v>
      </c>
      <c r="E1424" s="3">
        <v>1.1732976436614999</v>
      </c>
      <c r="F1424" s="3">
        <v>4.2752499580383301</v>
      </c>
      <c r="G1424" s="3">
        <v>2953</v>
      </c>
      <c r="H1424" s="4">
        <v>46460733</v>
      </c>
      <c r="I1424" s="3">
        <v>1.24159</v>
      </c>
      <c r="J1424" s="3">
        <v>63.399262138950029</v>
      </c>
      <c r="K1424" s="3">
        <v>78.75215006366183</v>
      </c>
    </row>
    <row r="1425" spans="1:11" x14ac:dyDescent="0.2">
      <c r="A1425" s="2" t="s">
        <v>139</v>
      </c>
      <c r="B1425" s="2" t="s">
        <v>140</v>
      </c>
      <c r="C1425" s="3">
        <v>2015</v>
      </c>
      <c r="D1425" s="3">
        <v>43053.761430314022</v>
      </c>
      <c r="E1425" s="3">
        <v>1.1572502851486199</v>
      </c>
      <c r="F1425" s="3">
        <v>4.2490200996398899</v>
      </c>
      <c r="G1425" s="3">
        <v>2799</v>
      </c>
      <c r="H1425" s="4">
        <v>46422303</v>
      </c>
      <c r="I1425" s="3">
        <v>1.2217899999999999</v>
      </c>
      <c r="J1425" s="3">
        <v>63.582041224823207</v>
      </c>
      <c r="K1425" s="3">
        <v>78.703995227484953</v>
      </c>
    </row>
    <row r="1426" spans="1:11" x14ac:dyDescent="0.2">
      <c r="A1426" s="2" t="s">
        <v>139</v>
      </c>
      <c r="B1426" s="2" t="s">
        <v>140</v>
      </c>
      <c r="C1426" s="3">
        <v>2016</v>
      </c>
      <c r="D1426" s="3">
        <v>44274.667614992191</v>
      </c>
      <c r="E1426" s="3">
        <v>1.0948657989502</v>
      </c>
      <c r="F1426" s="3">
        <v>4.1932802200317401</v>
      </c>
      <c r="G1426" s="3">
        <v>2745</v>
      </c>
      <c r="H1426" s="4">
        <v>46458139</v>
      </c>
      <c r="I1426" s="3">
        <v>1.1898599999999999</v>
      </c>
      <c r="J1426" s="3">
        <v>63.188677850729363</v>
      </c>
      <c r="K1426" s="3">
        <v>79.103188439011973</v>
      </c>
    </row>
    <row r="1427" spans="1:11" x14ac:dyDescent="0.2">
      <c r="A1427" s="2" t="s">
        <v>139</v>
      </c>
      <c r="B1427" s="2" t="s">
        <v>140</v>
      </c>
      <c r="C1427" s="3">
        <v>2017</v>
      </c>
      <c r="D1427" s="3">
        <v>45446.250857569532</v>
      </c>
      <c r="E1427" s="3">
        <v>1.00125849246979</v>
      </c>
      <c r="F1427" s="3">
        <v>4.1784501075744602</v>
      </c>
      <c r="G1427" s="3">
        <v>2167</v>
      </c>
      <c r="H1427" s="4">
        <v>46571232</v>
      </c>
      <c r="I1427" s="3">
        <v>1.20977</v>
      </c>
      <c r="J1427" s="3">
        <v>66.167446137856999</v>
      </c>
      <c r="K1427" s="3">
        <v>79.07627912528649</v>
      </c>
    </row>
    <row r="1428" spans="1:11" x14ac:dyDescent="0.2">
      <c r="A1428" s="2" t="s">
        <v>139</v>
      </c>
      <c r="B1428" s="2" t="s">
        <v>140</v>
      </c>
      <c r="C1428" s="3">
        <v>2018</v>
      </c>
      <c r="D1428" s="3">
        <v>46325.209944114082</v>
      </c>
      <c r="E1428" s="3">
        <v>0.96924602985382102</v>
      </c>
      <c r="F1428" s="3">
        <v>4.1504697799682599</v>
      </c>
      <c r="G1428" s="3">
        <v>1525</v>
      </c>
      <c r="H1428" s="4">
        <v>46782011</v>
      </c>
      <c r="I1428" s="3">
        <v>1.2415099999999999</v>
      </c>
      <c r="J1428" s="3">
        <v>67.009410398292133</v>
      </c>
      <c r="K1428" s="3">
        <v>79.675094646040236</v>
      </c>
    </row>
    <row r="1429" spans="1:11" x14ac:dyDescent="0.2">
      <c r="A1429" s="2" t="s">
        <v>139</v>
      </c>
      <c r="B1429" s="2" t="s">
        <v>140</v>
      </c>
      <c r="C1429" s="3">
        <v>2019</v>
      </c>
      <c r="D1429" s="3">
        <v>46896.41711414235</v>
      </c>
      <c r="E1429" s="3">
        <v>0.96880877017974898</v>
      </c>
      <c r="F1429" s="3">
        <v>4.2025599479675302</v>
      </c>
      <c r="G1429" s="3">
        <v>1288</v>
      </c>
      <c r="H1429" s="4">
        <v>47118501</v>
      </c>
      <c r="I1429" s="3">
        <v>1.2502500000000001</v>
      </c>
      <c r="J1429" s="3">
        <v>66.366225044069211</v>
      </c>
      <c r="K1429" s="3">
        <v>79.996003603259481</v>
      </c>
    </row>
    <row r="1430" spans="1:11" x14ac:dyDescent="0.2">
      <c r="A1430" s="2" t="s">
        <v>139</v>
      </c>
      <c r="B1430" s="2" t="s">
        <v>140</v>
      </c>
      <c r="C1430" s="3">
        <v>2020</v>
      </c>
      <c r="D1430" s="3">
        <v>41553.447794567459</v>
      </c>
      <c r="E1430" s="3">
        <v>0.85392856597900402</v>
      </c>
      <c r="F1430" s="3">
        <v>4.8511600494384801</v>
      </c>
      <c r="G1430" s="3">
        <v>1431</v>
      </c>
      <c r="H1430" s="4">
        <v>47359424</v>
      </c>
      <c r="I1430" s="3">
        <v>1.4091</v>
      </c>
      <c r="J1430" s="3">
        <v>59.446128014707583</v>
      </c>
      <c r="K1430" s="3">
        <v>80.520283116883107</v>
      </c>
    </row>
    <row r="1431" spans="1:11" x14ac:dyDescent="0.2">
      <c r="A1431" s="2" t="s">
        <v>139</v>
      </c>
      <c r="B1431" s="2" t="s">
        <v>140</v>
      </c>
      <c r="C1431" s="3">
        <v>2021</v>
      </c>
      <c r="D1431" s="3">
        <v>44251.665822262141</v>
      </c>
      <c r="E1431" s="3">
        <v>0.90789687633514404</v>
      </c>
      <c r="F1431" s="3">
        <v>4.8131599426269496</v>
      </c>
      <c r="G1431" s="3">
        <v>1308</v>
      </c>
      <c r="H1431" s="4">
        <v>47443821</v>
      </c>
      <c r="I1431" s="3">
        <v>1.4112199999999999</v>
      </c>
      <c r="J1431" s="3">
        <v>66.524588943191034</v>
      </c>
      <c r="K1431" s="3">
        <v>80.72812724089637</v>
      </c>
    </row>
    <row r="1432" spans="1:11" x14ac:dyDescent="0.2">
      <c r="A1432" s="2" t="s">
        <v>141</v>
      </c>
      <c r="B1432" s="2" t="s">
        <v>142</v>
      </c>
      <c r="C1432" s="3">
        <v>2000</v>
      </c>
      <c r="D1432" s="3">
        <v>48284.800184104337</v>
      </c>
      <c r="E1432" s="3">
        <v>1.8793263435363801</v>
      </c>
      <c r="F1432" s="3">
        <v>6.7383599281311</v>
      </c>
      <c r="G1432" s="3">
        <v>4224</v>
      </c>
      <c r="H1432" s="4">
        <v>8872109</v>
      </c>
      <c r="I1432" s="2"/>
      <c r="J1432" s="3">
        <v>81.47215908501208</v>
      </c>
      <c r="K1432" s="3">
        <v>84.43260368389781</v>
      </c>
    </row>
    <row r="1433" spans="1:11" x14ac:dyDescent="0.2">
      <c r="A1433" s="2" t="s">
        <v>141</v>
      </c>
      <c r="B1433" s="2" t="s">
        <v>142</v>
      </c>
      <c r="C1433" s="3">
        <v>2001</v>
      </c>
      <c r="D1433" s="3">
        <v>48810.644590654992</v>
      </c>
      <c r="E1433" s="2"/>
      <c r="F1433" s="3">
        <v>6.6148200035095197</v>
      </c>
      <c r="G1433" s="3">
        <v>3926</v>
      </c>
      <c r="H1433" s="4">
        <v>8895960</v>
      </c>
      <c r="I1433" s="3">
        <v>3.8738000000000001</v>
      </c>
      <c r="J1433" s="3">
        <v>80.569182811771384</v>
      </c>
      <c r="K1433" s="3">
        <v>84.669938093116031</v>
      </c>
    </row>
    <row r="1434" spans="1:11" x14ac:dyDescent="0.2">
      <c r="A1434" s="2" t="s">
        <v>141</v>
      </c>
      <c r="B1434" s="2" t="s">
        <v>142</v>
      </c>
      <c r="C1434" s="3">
        <v>2002</v>
      </c>
      <c r="D1434" s="3">
        <v>49760.216163600548</v>
      </c>
      <c r="E1434" s="3">
        <v>1.9625927209854099</v>
      </c>
      <c r="F1434" s="3">
        <v>6.9107799530029297</v>
      </c>
      <c r="G1434" s="3">
        <v>3358</v>
      </c>
      <c r="H1434" s="4">
        <v>8924958</v>
      </c>
      <c r="I1434" s="2"/>
      <c r="J1434" s="3">
        <v>77.085318697240211</v>
      </c>
      <c r="K1434" s="3">
        <v>84.653240679908322</v>
      </c>
    </row>
    <row r="1435" spans="1:11" x14ac:dyDescent="0.2">
      <c r="A1435" s="2" t="s">
        <v>141</v>
      </c>
      <c r="B1435" s="2" t="s">
        <v>142</v>
      </c>
      <c r="C1435" s="3">
        <v>2003</v>
      </c>
      <c r="D1435" s="3">
        <v>50507.933073864129</v>
      </c>
      <c r="E1435" s="3">
        <v>2.0169019699096702</v>
      </c>
      <c r="F1435" s="3">
        <v>6.7967801094055202</v>
      </c>
      <c r="G1435" s="3">
        <v>3025</v>
      </c>
      <c r="H1435" s="4">
        <v>8958229</v>
      </c>
      <c r="I1435" s="3">
        <v>3.5794800000000002</v>
      </c>
      <c r="J1435" s="3">
        <v>75.328217486423753</v>
      </c>
      <c r="K1435" s="3">
        <v>84.616727682285031</v>
      </c>
    </row>
    <row r="1436" spans="1:11" x14ac:dyDescent="0.2">
      <c r="A1436" s="2" t="s">
        <v>141</v>
      </c>
      <c r="B1436" s="2" t="s">
        <v>142</v>
      </c>
      <c r="C1436" s="3">
        <v>2004</v>
      </c>
      <c r="D1436" s="3">
        <v>52412.411275873019</v>
      </c>
      <c r="E1436" s="3">
        <v>2.0997376441955602</v>
      </c>
      <c r="F1436" s="3">
        <v>6.6729998588562003</v>
      </c>
      <c r="G1436" s="3">
        <v>2768</v>
      </c>
      <c r="H1436" s="4">
        <v>8993531</v>
      </c>
      <c r="I1436" s="3">
        <v>3.3612899999999999</v>
      </c>
      <c r="J1436" s="3">
        <v>78.735881918735615</v>
      </c>
      <c r="K1436" s="3">
        <v>84.627042207792215</v>
      </c>
    </row>
    <row r="1437" spans="1:11" x14ac:dyDescent="0.2">
      <c r="A1437" s="2" t="s">
        <v>141</v>
      </c>
      <c r="B1437" s="2" t="s">
        <v>142</v>
      </c>
      <c r="C1437" s="3">
        <v>2005</v>
      </c>
      <c r="D1437" s="3">
        <v>53661.317864362289</v>
      </c>
      <c r="E1437" s="3">
        <v>1.8879017829895</v>
      </c>
      <c r="F1437" s="3">
        <v>6.5151600837707502</v>
      </c>
      <c r="G1437" s="3">
        <v>2522</v>
      </c>
      <c r="H1437" s="4">
        <v>9029572</v>
      </c>
      <c r="I1437" s="3">
        <v>3.3595799999999998</v>
      </c>
      <c r="J1437" s="3">
        <v>84.16792301803099</v>
      </c>
      <c r="K1437" s="3">
        <v>84.836764319667267</v>
      </c>
    </row>
    <row r="1438" spans="1:11" x14ac:dyDescent="0.2">
      <c r="A1438" s="2" t="s">
        <v>141</v>
      </c>
      <c r="B1438" s="2" t="s">
        <v>142</v>
      </c>
      <c r="C1438" s="3">
        <v>2006</v>
      </c>
      <c r="D1438" s="3">
        <v>55855.497827934661</v>
      </c>
      <c r="E1438" s="3">
        <v>1.8005728721618699</v>
      </c>
      <c r="F1438" s="3">
        <v>6.3727698326110804</v>
      </c>
      <c r="G1438" s="3">
        <v>2446</v>
      </c>
      <c r="H1438" s="4">
        <v>9080505</v>
      </c>
      <c r="I1438" s="3">
        <v>3.4750000000000001</v>
      </c>
      <c r="J1438" s="3">
        <v>88.330260891823869</v>
      </c>
      <c r="K1438" s="3">
        <v>84.624558810797041</v>
      </c>
    </row>
    <row r="1439" spans="1:11" x14ac:dyDescent="0.2">
      <c r="A1439" s="2" t="s">
        <v>141</v>
      </c>
      <c r="B1439" s="2" t="s">
        <v>142</v>
      </c>
      <c r="C1439" s="3">
        <v>2007</v>
      </c>
      <c r="D1439" s="3">
        <v>57230.790161015648</v>
      </c>
      <c r="E1439" s="3">
        <v>2.0187175273895299</v>
      </c>
      <c r="F1439" s="3">
        <v>6.1867299079895002</v>
      </c>
      <c r="G1439" s="3">
        <v>2527</v>
      </c>
      <c r="H1439" s="4">
        <v>9148092</v>
      </c>
      <c r="I1439" s="3">
        <v>3.2338300000000002</v>
      </c>
      <c r="J1439" s="3">
        <v>89.546923661022277</v>
      </c>
      <c r="K1439" s="3">
        <v>84.819662486206596</v>
      </c>
    </row>
    <row r="1440" spans="1:11" x14ac:dyDescent="0.2">
      <c r="A1440" s="2" t="s">
        <v>141</v>
      </c>
      <c r="B1440" s="2" t="s">
        <v>142</v>
      </c>
      <c r="C1440" s="3">
        <v>2008</v>
      </c>
      <c r="D1440" s="3">
        <v>56262.470075199373</v>
      </c>
      <c r="E1440" s="3">
        <v>1.9469789266586299</v>
      </c>
      <c r="F1440" s="3">
        <v>6.3826398849487296</v>
      </c>
      <c r="G1440" s="3">
        <v>2549</v>
      </c>
      <c r="H1440" s="4">
        <v>9219637</v>
      </c>
      <c r="I1440" s="3">
        <v>3.4699900000000001</v>
      </c>
      <c r="J1440" s="3">
        <v>92.808368709559588</v>
      </c>
      <c r="K1440" s="3">
        <v>85.207994221628041</v>
      </c>
    </row>
    <row r="1441" spans="1:11" x14ac:dyDescent="0.2">
      <c r="A1441" s="2" t="s">
        <v>141</v>
      </c>
      <c r="B1441" s="2" t="s">
        <v>142</v>
      </c>
      <c r="C1441" s="3">
        <v>2009</v>
      </c>
      <c r="D1441" s="3">
        <v>53411.200585318191</v>
      </c>
      <c r="E1441" s="3">
        <v>2.0416810512542698</v>
      </c>
      <c r="F1441" s="3">
        <v>6.7842597961425799</v>
      </c>
      <c r="G1441" s="3">
        <v>2186</v>
      </c>
      <c r="H1441" s="4">
        <v>9298515</v>
      </c>
      <c r="I1441" s="3">
        <v>3.3952800000000001</v>
      </c>
      <c r="J1441" s="3">
        <v>81.958313967393025</v>
      </c>
      <c r="K1441" s="3">
        <v>85.971643389780155</v>
      </c>
    </row>
    <row r="1442" spans="1:11" x14ac:dyDescent="0.2">
      <c r="A1442" s="2" t="s">
        <v>141</v>
      </c>
      <c r="B1442" s="2" t="s">
        <v>142</v>
      </c>
      <c r="C1442" s="3">
        <v>2010</v>
      </c>
      <c r="D1442" s="3">
        <v>56003.270471551063</v>
      </c>
      <c r="E1442" s="3">
        <v>1.9626203775405899</v>
      </c>
      <c r="F1442" s="3">
        <v>6.5631899833679199</v>
      </c>
      <c r="G1442" s="3">
        <v>2196</v>
      </c>
      <c r="H1442" s="4">
        <v>9378126</v>
      </c>
      <c r="I1442" s="3">
        <v>3.1678899999999999</v>
      </c>
      <c r="J1442" s="3">
        <v>85.091484927273271</v>
      </c>
      <c r="K1442" s="3">
        <v>85.173256489262357</v>
      </c>
    </row>
    <row r="1443" spans="1:11" x14ac:dyDescent="0.2">
      <c r="A1443" s="2" t="s">
        <v>141</v>
      </c>
      <c r="B1443" s="2" t="s">
        <v>142</v>
      </c>
      <c r="C1443" s="3">
        <v>2011</v>
      </c>
      <c r="D1443" s="3">
        <v>57340.503981324669</v>
      </c>
      <c r="E1443" s="3">
        <v>1.92519795894623</v>
      </c>
      <c r="F1443" s="3">
        <v>6.4065699577331499</v>
      </c>
      <c r="G1443" s="3">
        <v>2004</v>
      </c>
      <c r="H1443" s="4">
        <v>9449213</v>
      </c>
      <c r="I1443" s="3">
        <v>3.18702</v>
      </c>
      <c r="J1443" s="3">
        <v>86.390744806018759</v>
      </c>
      <c r="K1443" s="3">
        <v>85.010211198115599</v>
      </c>
    </row>
    <row r="1444" spans="1:11" x14ac:dyDescent="0.2">
      <c r="A1444" s="2" t="s">
        <v>141</v>
      </c>
      <c r="B1444" s="2" t="s">
        <v>142</v>
      </c>
      <c r="C1444" s="3">
        <v>2012</v>
      </c>
      <c r="D1444" s="3">
        <v>56682.018701375353</v>
      </c>
      <c r="E1444" s="3">
        <v>1.9110356569290201</v>
      </c>
      <c r="F1444" s="3">
        <v>7.5745601654052699</v>
      </c>
      <c r="G1444" s="3">
        <v>2288</v>
      </c>
      <c r="H1444" s="4">
        <v>9519374</v>
      </c>
      <c r="I1444" s="3">
        <v>3.2302499999999998</v>
      </c>
      <c r="J1444" s="3">
        <v>85.298060542435948</v>
      </c>
      <c r="K1444" s="3">
        <v>85.582439264493686</v>
      </c>
    </row>
    <row r="1445" spans="1:11" x14ac:dyDescent="0.2">
      <c r="A1445" s="2" t="s">
        <v>141</v>
      </c>
      <c r="B1445" s="2" t="s">
        <v>142</v>
      </c>
      <c r="C1445" s="3">
        <v>2013</v>
      </c>
      <c r="D1445" s="3">
        <v>56843.164926373407</v>
      </c>
      <c r="E1445" s="3">
        <v>1.7889982461929299</v>
      </c>
      <c r="F1445" s="3">
        <v>7.6465702056884801</v>
      </c>
      <c r="G1445" s="3">
        <v>2332</v>
      </c>
      <c r="H1445" s="4">
        <v>9600379</v>
      </c>
      <c r="I1445" s="3">
        <v>3.2604199999999999</v>
      </c>
      <c r="J1445" s="3">
        <v>81.640252132996366</v>
      </c>
      <c r="K1445" s="3">
        <v>85.179810797046088</v>
      </c>
    </row>
    <row r="1446" spans="1:11" x14ac:dyDescent="0.2">
      <c r="A1446" s="2" t="s">
        <v>141</v>
      </c>
      <c r="B1446" s="2" t="s">
        <v>142</v>
      </c>
      <c r="C1446" s="3">
        <v>2014</v>
      </c>
      <c r="D1446" s="3">
        <v>57574.050048526449</v>
      </c>
      <c r="E1446" s="3">
        <v>1.68137550354004</v>
      </c>
      <c r="F1446" s="3">
        <v>7.6292400360107404</v>
      </c>
      <c r="G1446" s="3">
        <v>1984</v>
      </c>
      <c r="H1446" s="4">
        <v>9696110</v>
      </c>
      <c r="I1446" s="3">
        <v>3.1018400000000002</v>
      </c>
      <c r="J1446" s="3">
        <v>83.822981048352702</v>
      </c>
      <c r="K1446" s="3">
        <v>85.57768532170445</v>
      </c>
    </row>
    <row r="1447" spans="1:11" x14ac:dyDescent="0.2">
      <c r="A1447" s="2" t="s">
        <v>141</v>
      </c>
      <c r="B1447" s="2" t="s">
        <v>142</v>
      </c>
      <c r="C1447" s="3">
        <v>2015</v>
      </c>
      <c r="D1447" s="3">
        <v>59468.353868762533</v>
      </c>
      <c r="E1447" s="3">
        <v>1.6848486661911</v>
      </c>
      <c r="F1447" s="3">
        <v>7.4944300651550302</v>
      </c>
      <c r="G1447" s="3">
        <v>2038</v>
      </c>
      <c r="H1447" s="4">
        <v>9799186</v>
      </c>
      <c r="I1447" s="3">
        <v>3.2190300000000001</v>
      </c>
      <c r="J1447" s="3">
        <v>84.173076595817093</v>
      </c>
      <c r="K1447" s="3">
        <v>85.632822714540367</v>
      </c>
    </row>
    <row r="1448" spans="1:11" x14ac:dyDescent="0.2">
      <c r="A1448" s="2" t="s">
        <v>141</v>
      </c>
      <c r="B1448" s="2" t="s">
        <v>142</v>
      </c>
      <c r="C1448" s="3">
        <v>2016</v>
      </c>
      <c r="D1448" s="3">
        <v>59977.38860106939</v>
      </c>
      <c r="E1448" s="3">
        <v>1.66307485103607</v>
      </c>
      <c r="F1448" s="3">
        <v>7.6399002075195304</v>
      </c>
      <c r="G1448" s="3">
        <v>2032</v>
      </c>
      <c r="H1448" s="4">
        <v>9923085</v>
      </c>
      <c r="I1448" s="3">
        <v>3.24736</v>
      </c>
      <c r="J1448" s="3">
        <v>83.451947857414893</v>
      </c>
      <c r="K1448" s="3">
        <v>85.673184224598927</v>
      </c>
    </row>
    <row r="1449" spans="1:11" x14ac:dyDescent="0.2">
      <c r="A1449" s="2" t="s">
        <v>141</v>
      </c>
      <c r="B1449" s="2" t="s">
        <v>142</v>
      </c>
      <c r="C1449" s="3">
        <v>2017</v>
      </c>
      <c r="D1449" s="3">
        <v>60288.799816867628</v>
      </c>
      <c r="E1449" s="3">
        <v>1.6757516860961901</v>
      </c>
      <c r="F1449" s="3">
        <v>7.6385002136230504</v>
      </c>
      <c r="G1449" s="3">
        <v>1992</v>
      </c>
      <c r="H1449" s="4">
        <v>10057698</v>
      </c>
      <c r="I1449" s="3">
        <v>3.3627899999999999</v>
      </c>
      <c r="J1449" s="3">
        <v>86.069308874052098</v>
      </c>
      <c r="K1449" s="3">
        <v>85.662357380527993</v>
      </c>
    </row>
    <row r="1450" spans="1:11" x14ac:dyDescent="0.2">
      <c r="A1450" s="2" t="s">
        <v>141</v>
      </c>
      <c r="B1450" s="2" t="s">
        <v>142</v>
      </c>
      <c r="C1450" s="3">
        <v>2018</v>
      </c>
      <c r="D1450" s="3">
        <v>60647.449528585952</v>
      </c>
      <c r="E1450" s="3">
        <v>1.6710944175720199</v>
      </c>
      <c r="F1450" s="3">
        <v>7.6982498168945304</v>
      </c>
      <c r="G1450" s="3">
        <v>1838</v>
      </c>
      <c r="H1450" s="4">
        <v>10175214</v>
      </c>
      <c r="I1450" s="3">
        <v>3.3210600000000001</v>
      </c>
      <c r="J1450" s="3">
        <v>90.408714236170056</v>
      </c>
      <c r="K1450" s="3">
        <v>85.173906533825658</v>
      </c>
    </row>
    <row r="1451" spans="1:11" x14ac:dyDescent="0.2">
      <c r="A1451" s="2" t="s">
        <v>141</v>
      </c>
      <c r="B1451" s="2" t="s">
        <v>142</v>
      </c>
      <c r="C1451" s="3">
        <v>2019</v>
      </c>
      <c r="D1451" s="3">
        <v>61601.629233877757</v>
      </c>
      <c r="E1451" s="3">
        <v>1.6740124225616499</v>
      </c>
      <c r="F1451" s="3">
        <v>7.6630601882934597</v>
      </c>
      <c r="G1451" s="3">
        <v>1802</v>
      </c>
      <c r="H1451" s="4">
        <v>10278887</v>
      </c>
      <c r="I1451" s="3">
        <v>3.3875799999999998</v>
      </c>
      <c r="J1451" s="3">
        <v>92.751139029056134</v>
      </c>
      <c r="K1451" s="3">
        <v>85.75428374076904</v>
      </c>
    </row>
    <row r="1452" spans="1:11" x14ac:dyDescent="0.2">
      <c r="A1452" s="2" t="s">
        <v>141</v>
      </c>
      <c r="B1452" s="2" t="s">
        <v>142</v>
      </c>
      <c r="C1452" s="3">
        <v>2020</v>
      </c>
      <c r="D1452" s="3">
        <v>59975.364406189517</v>
      </c>
      <c r="E1452" s="3">
        <v>1.6700267791748</v>
      </c>
      <c r="F1452" s="3">
        <v>7.95333003997803</v>
      </c>
      <c r="G1452" s="3">
        <v>1764</v>
      </c>
      <c r="H1452" s="4">
        <v>10353442</v>
      </c>
      <c r="I1452" s="3">
        <v>3.4895999999999998</v>
      </c>
      <c r="J1452" s="3">
        <v>84.474595814161788</v>
      </c>
      <c r="K1452" s="3">
        <v>86.05078576733726</v>
      </c>
    </row>
    <row r="1453" spans="1:11" x14ac:dyDescent="0.2">
      <c r="A1453" s="2" t="s">
        <v>141</v>
      </c>
      <c r="B1453" s="2" t="s">
        <v>142</v>
      </c>
      <c r="C1453" s="3">
        <v>2021</v>
      </c>
      <c r="D1453" s="3">
        <v>62731.700616293027</v>
      </c>
      <c r="E1453" s="3">
        <v>1.6102552413940401</v>
      </c>
      <c r="F1453" s="3">
        <v>7.6022400856018102</v>
      </c>
      <c r="G1453" s="3">
        <v>1771</v>
      </c>
      <c r="H1453" s="4">
        <v>10415811</v>
      </c>
      <c r="I1453" s="3">
        <v>3.4021599999999999</v>
      </c>
      <c r="J1453" s="3">
        <v>91.11023744130415</v>
      </c>
      <c r="K1453" s="3">
        <v>85.553876578813359</v>
      </c>
    </row>
    <row r="1454" spans="1:11" x14ac:dyDescent="0.2">
      <c r="A1454" s="2" t="s">
        <v>143</v>
      </c>
      <c r="B1454" s="2" t="s">
        <v>144</v>
      </c>
      <c r="C1454" s="3">
        <v>2000</v>
      </c>
      <c r="D1454" s="3">
        <v>67378.39014728769</v>
      </c>
      <c r="E1454" s="3">
        <v>1.9563405513763401</v>
      </c>
      <c r="F1454" s="3">
        <v>4.6587800979614302</v>
      </c>
      <c r="G1454" s="3">
        <v>2083</v>
      </c>
      <c r="H1454" s="4">
        <v>7184250</v>
      </c>
      <c r="I1454" s="3">
        <v>2.2638600000000002</v>
      </c>
      <c r="J1454" s="3">
        <v>97.936856212409268</v>
      </c>
      <c r="K1454" s="3">
        <v>76.440312559142242</v>
      </c>
    </row>
    <row r="1455" spans="1:11" x14ac:dyDescent="0.2">
      <c r="A1455" s="2" t="s">
        <v>143</v>
      </c>
      <c r="B1455" s="2" t="s">
        <v>144</v>
      </c>
      <c r="C1455" s="3">
        <v>2001</v>
      </c>
      <c r="D1455" s="3">
        <v>68008.344185285547</v>
      </c>
      <c r="E1455" s="2"/>
      <c r="F1455" s="3">
        <v>4.8221898078918501</v>
      </c>
      <c r="G1455" s="3">
        <v>1859</v>
      </c>
      <c r="H1455" s="4">
        <v>7229854</v>
      </c>
      <c r="I1455" s="2"/>
      <c r="J1455" s="3">
        <v>96.039837885163266</v>
      </c>
      <c r="K1455" s="3">
        <v>76.455840573489027</v>
      </c>
    </row>
    <row r="1456" spans="1:11" x14ac:dyDescent="0.2">
      <c r="A1456" s="2" t="s">
        <v>143</v>
      </c>
      <c r="B1456" s="2" t="s">
        <v>144</v>
      </c>
      <c r="C1456" s="3">
        <v>2002</v>
      </c>
      <c r="D1456" s="3">
        <v>67446.404431026764</v>
      </c>
      <c r="E1456" s="3">
        <v>1.9370417594909699</v>
      </c>
      <c r="F1456" s="3">
        <v>5.1788101196289098</v>
      </c>
      <c r="G1456" s="3">
        <v>1827</v>
      </c>
      <c r="H1456" s="4">
        <v>7284753</v>
      </c>
      <c r="I1456" s="2"/>
      <c r="J1456" s="3">
        <v>91.781850864022502</v>
      </c>
      <c r="K1456" s="3">
        <v>77.622573582493885</v>
      </c>
    </row>
    <row r="1457" spans="1:11" x14ac:dyDescent="0.2">
      <c r="A1457" s="2" t="s">
        <v>143</v>
      </c>
      <c r="B1457" s="2" t="s">
        <v>144</v>
      </c>
      <c r="C1457" s="3">
        <v>2003</v>
      </c>
      <c r="D1457" s="3">
        <v>66926.167976442986</v>
      </c>
      <c r="E1457" s="3">
        <v>1.75373554229736</v>
      </c>
      <c r="F1457" s="3">
        <v>5.3840098381042498</v>
      </c>
      <c r="G1457" s="3">
        <v>1831</v>
      </c>
      <c r="H1457" s="4">
        <v>7339001</v>
      </c>
      <c r="I1457" s="2"/>
      <c r="J1457" s="3">
        <v>90.335496109312686</v>
      </c>
      <c r="K1457" s="3">
        <v>77.233317689255188</v>
      </c>
    </row>
    <row r="1458" spans="1:11" x14ac:dyDescent="0.2">
      <c r="A1458" s="2" t="s">
        <v>143</v>
      </c>
      <c r="B1458" s="2" t="s">
        <v>144</v>
      </c>
      <c r="C1458" s="3">
        <v>2004</v>
      </c>
      <c r="D1458" s="3">
        <v>68263.44113908174</v>
      </c>
      <c r="E1458" s="3">
        <v>2.1585156917571999</v>
      </c>
      <c r="F1458" s="3">
        <v>5.3142900466918999</v>
      </c>
      <c r="G1458" s="3">
        <v>1742</v>
      </c>
      <c r="H1458" s="4">
        <v>7389625</v>
      </c>
      <c r="I1458" s="3">
        <v>2.6081799999999999</v>
      </c>
      <c r="J1458" s="3">
        <v>95.517094458852938</v>
      </c>
      <c r="K1458" s="3">
        <v>77.71576583867521</v>
      </c>
    </row>
    <row r="1459" spans="1:11" x14ac:dyDescent="0.2">
      <c r="A1459" s="2" t="s">
        <v>143</v>
      </c>
      <c r="B1459" s="2" t="s">
        <v>144</v>
      </c>
      <c r="C1459" s="3">
        <v>2005</v>
      </c>
      <c r="D1459" s="3">
        <v>69692.595482749297</v>
      </c>
      <c r="E1459" s="3">
        <v>1.8462826013565099</v>
      </c>
      <c r="F1459" s="3">
        <v>5.0847201347351101</v>
      </c>
      <c r="G1459" s="3">
        <v>1643</v>
      </c>
      <c r="H1459" s="4">
        <v>7437115</v>
      </c>
      <c r="I1459" s="2"/>
      <c r="J1459" s="3">
        <v>102.2611721418356</v>
      </c>
      <c r="K1459" s="3">
        <v>77.703323006333932</v>
      </c>
    </row>
    <row r="1460" spans="1:11" x14ac:dyDescent="0.2">
      <c r="A1460" s="2" t="s">
        <v>143</v>
      </c>
      <c r="B1460" s="2" t="s">
        <v>144</v>
      </c>
      <c r="C1460" s="3">
        <v>2006</v>
      </c>
      <c r="D1460" s="3">
        <v>72077.859847030806</v>
      </c>
      <c r="E1460" s="3">
        <v>2.07526707649231</v>
      </c>
      <c r="F1460" s="3">
        <v>4.8412098884582502</v>
      </c>
      <c r="G1460" s="3">
        <v>1740</v>
      </c>
      <c r="H1460" s="4">
        <v>7483934</v>
      </c>
      <c r="I1460" s="2"/>
      <c r="J1460" s="3">
        <v>106.245154784945</v>
      </c>
      <c r="K1460" s="3">
        <v>77.48525384806166</v>
      </c>
    </row>
    <row r="1461" spans="1:11" x14ac:dyDescent="0.2">
      <c r="A1461" s="2" t="s">
        <v>143</v>
      </c>
      <c r="B1461" s="2" t="s">
        <v>144</v>
      </c>
      <c r="C1461" s="3">
        <v>2007</v>
      </c>
      <c r="D1461" s="3">
        <v>74234.301099193122</v>
      </c>
      <c r="E1461" s="3">
        <v>2.0358071327209499</v>
      </c>
      <c r="F1461" s="3">
        <v>4.5839500427246103</v>
      </c>
      <c r="G1461" s="3">
        <v>1692</v>
      </c>
      <c r="H1461" s="4">
        <v>7551117</v>
      </c>
      <c r="I1461" s="2"/>
      <c r="J1461" s="3">
        <v>113.3318577685089</v>
      </c>
      <c r="K1461" s="3">
        <v>77.502836269459706</v>
      </c>
    </row>
    <row r="1462" spans="1:11" x14ac:dyDescent="0.2">
      <c r="A1462" s="2" t="s">
        <v>143</v>
      </c>
      <c r="B1462" s="2" t="s">
        <v>144</v>
      </c>
      <c r="C1462" s="3">
        <v>2008</v>
      </c>
      <c r="D1462" s="3">
        <v>75355.202488789029</v>
      </c>
      <c r="E1462" s="3">
        <v>2.0275909900665301</v>
      </c>
      <c r="F1462" s="3">
        <v>4.7572598457336399</v>
      </c>
      <c r="G1462" s="3">
        <v>1594</v>
      </c>
      <c r="H1462" s="4">
        <v>7647675</v>
      </c>
      <c r="I1462" s="3">
        <v>2.6529600000000002</v>
      </c>
      <c r="J1462" s="3">
        <v>116.7780001474884</v>
      </c>
      <c r="K1462" s="3">
        <v>77.565114001449956</v>
      </c>
    </row>
    <row r="1463" spans="1:11" x14ac:dyDescent="0.2">
      <c r="A1463" s="2" t="s">
        <v>143</v>
      </c>
      <c r="B1463" s="2" t="s">
        <v>144</v>
      </c>
      <c r="C1463" s="3">
        <v>2009</v>
      </c>
      <c r="D1463" s="3">
        <v>72709.813829340826</v>
      </c>
      <c r="E1463" s="3">
        <v>1.9450256824493399</v>
      </c>
      <c r="F1463" s="3">
        <v>4.9256100654602104</v>
      </c>
      <c r="G1463" s="3">
        <v>1684</v>
      </c>
      <c r="H1463" s="4">
        <v>7743831</v>
      </c>
      <c r="I1463" s="2"/>
      <c r="J1463" s="3">
        <v>109.77598459896809</v>
      </c>
      <c r="K1463" s="3">
        <v>78.179108142551897</v>
      </c>
    </row>
    <row r="1464" spans="1:11" x14ac:dyDescent="0.2">
      <c r="A1464" s="2" t="s">
        <v>143</v>
      </c>
      <c r="B1464" s="2" t="s">
        <v>144</v>
      </c>
      <c r="C1464" s="3">
        <v>2010</v>
      </c>
      <c r="D1464" s="3">
        <v>74290.261962927849</v>
      </c>
      <c r="E1464" s="3">
        <v>1.8709591627121001</v>
      </c>
      <c r="F1464" s="3">
        <v>4.8021001815795898</v>
      </c>
      <c r="G1464" s="3">
        <v>1622</v>
      </c>
      <c r="H1464" s="4">
        <v>7824909</v>
      </c>
      <c r="I1464" s="2"/>
      <c r="J1464" s="3">
        <v>120.0651232693406</v>
      </c>
      <c r="K1464" s="3">
        <v>77.900004950778381</v>
      </c>
    </row>
    <row r="1465" spans="1:11" x14ac:dyDescent="0.2">
      <c r="A1465" s="2" t="s">
        <v>143</v>
      </c>
      <c r="B1465" s="2" t="s">
        <v>144</v>
      </c>
      <c r="C1465" s="3">
        <v>2011</v>
      </c>
      <c r="D1465" s="3">
        <v>74800.888635353316</v>
      </c>
      <c r="E1465" s="3">
        <v>1.86164331436157</v>
      </c>
      <c r="F1465" s="3">
        <v>4.8566398620605504</v>
      </c>
      <c r="G1465" s="3">
        <v>1597</v>
      </c>
      <c r="H1465" s="4">
        <v>7912398</v>
      </c>
      <c r="I1465" s="2"/>
      <c r="J1465" s="3">
        <v>125.5562731599067</v>
      </c>
      <c r="K1465" s="3">
        <v>77.784534804258257</v>
      </c>
    </row>
    <row r="1466" spans="1:11" x14ac:dyDescent="0.2">
      <c r="A1466" s="2" t="s">
        <v>143</v>
      </c>
      <c r="B1466" s="2" t="s">
        <v>144</v>
      </c>
      <c r="C1466" s="3">
        <v>2012</v>
      </c>
      <c r="D1466" s="3">
        <v>74883.615892424903</v>
      </c>
      <c r="E1466" s="3">
        <v>1.88282430171967</v>
      </c>
      <c r="F1466" s="3">
        <v>4.89862012863159</v>
      </c>
      <c r="G1466" s="3">
        <v>1480</v>
      </c>
      <c r="H1466" s="4">
        <v>7996861</v>
      </c>
      <c r="I1466" s="3">
        <v>2.8745699999999998</v>
      </c>
      <c r="J1466" s="3">
        <v>126.4538604645048</v>
      </c>
      <c r="K1466" s="3">
        <v>78.317789402090966</v>
      </c>
    </row>
    <row r="1467" spans="1:11" x14ac:dyDescent="0.2">
      <c r="A1467" s="2" t="s">
        <v>143</v>
      </c>
      <c r="B1467" s="2" t="s">
        <v>144</v>
      </c>
      <c r="C1467" s="3">
        <v>2013</v>
      </c>
      <c r="D1467" s="3">
        <v>75354.15505008836</v>
      </c>
      <c r="E1467" s="3">
        <v>1.81637847423553</v>
      </c>
      <c r="F1467" s="3">
        <v>4.9139299392700204</v>
      </c>
      <c r="G1467" s="3">
        <v>1525</v>
      </c>
      <c r="H1467" s="4">
        <v>8089346</v>
      </c>
      <c r="I1467" s="2"/>
      <c r="J1467" s="3">
        <v>133.69370841447679</v>
      </c>
      <c r="K1467" s="3">
        <v>78.301964938186813</v>
      </c>
    </row>
    <row r="1468" spans="1:11" x14ac:dyDescent="0.2">
      <c r="A1468" s="2" t="s">
        <v>143</v>
      </c>
      <c r="B1468" s="2" t="s">
        <v>144</v>
      </c>
      <c r="C1468" s="3">
        <v>2014</v>
      </c>
      <c r="D1468" s="3">
        <v>76189.601844396893</v>
      </c>
      <c r="E1468" s="3">
        <v>2.1043186187744101</v>
      </c>
      <c r="F1468" s="3">
        <v>4.9305701255798304</v>
      </c>
      <c r="G1468" s="3">
        <v>1480</v>
      </c>
      <c r="H1468" s="4">
        <v>8188649</v>
      </c>
      <c r="I1468" s="2"/>
      <c r="J1468" s="3">
        <v>120.2134233752387</v>
      </c>
      <c r="K1468" s="3">
        <v>78.884083333333336</v>
      </c>
    </row>
    <row r="1469" spans="1:11" x14ac:dyDescent="0.2">
      <c r="A1469" s="2" t="s">
        <v>143</v>
      </c>
      <c r="B1469" s="2" t="s">
        <v>144</v>
      </c>
      <c r="C1469" s="3">
        <v>2015</v>
      </c>
      <c r="D1469" s="3">
        <v>76566.077254214775</v>
      </c>
      <c r="E1469" s="3">
        <v>1.9674533605575599</v>
      </c>
      <c r="F1469" s="3">
        <v>4.9955902099609402</v>
      </c>
      <c r="G1469" s="3">
        <v>1477</v>
      </c>
      <c r="H1469" s="4">
        <v>8282396</v>
      </c>
      <c r="I1469" s="3">
        <v>3.0783200000000002</v>
      </c>
      <c r="J1469" s="3">
        <v>117.138482218872</v>
      </c>
      <c r="K1469" s="3">
        <v>78.985834439865698</v>
      </c>
    </row>
    <row r="1470" spans="1:11" x14ac:dyDescent="0.2">
      <c r="A1470" s="2" t="s">
        <v>143</v>
      </c>
      <c r="B1470" s="2" t="s">
        <v>144</v>
      </c>
      <c r="C1470" s="3">
        <v>2016</v>
      </c>
      <c r="D1470" s="3">
        <v>77301.212430485743</v>
      </c>
      <c r="E1470" s="3">
        <v>1.9717808961868299</v>
      </c>
      <c r="F1470" s="3">
        <v>4.9816398620605504</v>
      </c>
      <c r="G1470" s="3">
        <v>1462</v>
      </c>
      <c r="H1470" s="4">
        <v>8373338</v>
      </c>
      <c r="I1470" s="2"/>
      <c r="J1470" s="3">
        <v>123.5659245135768</v>
      </c>
      <c r="K1470" s="3">
        <v>78.837301812423689</v>
      </c>
    </row>
    <row r="1471" spans="1:11" x14ac:dyDescent="0.2">
      <c r="A1471" s="2" t="s">
        <v>143</v>
      </c>
      <c r="B1471" s="2" t="s">
        <v>144</v>
      </c>
      <c r="C1471" s="3">
        <v>2017</v>
      </c>
      <c r="D1471" s="3">
        <v>77626.90273769405</v>
      </c>
      <c r="E1471" s="3">
        <v>2.0178031921386701</v>
      </c>
      <c r="F1471" s="3">
        <v>5.0176501274108896</v>
      </c>
      <c r="G1471" s="3">
        <v>1337</v>
      </c>
      <c r="H1471" s="4">
        <v>8451840</v>
      </c>
      <c r="I1471" s="3">
        <v>3.0769799999999998</v>
      </c>
      <c r="J1471" s="3">
        <v>123.62180760230081</v>
      </c>
      <c r="K1471" s="3">
        <v>79.335215644078147</v>
      </c>
    </row>
    <row r="1472" spans="1:11" x14ac:dyDescent="0.2">
      <c r="A1472" s="2" t="s">
        <v>143</v>
      </c>
      <c r="B1472" s="2" t="s">
        <v>144</v>
      </c>
      <c r="C1472" s="3">
        <v>2018</v>
      </c>
      <c r="D1472" s="3">
        <v>79261.35636412882</v>
      </c>
      <c r="E1472" s="3">
        <v>1.99707686901093</v>
      </c>
      <c r="F1472" s="3">
        <v>4.9300899505615199</v>
      </c>
      <c r="G1472" s="3">
        <v>1283</v>
      </c>
      <c r="H1472" s="4">
        <v>8514329</v>
      </c>
      <c r="I1472" s="2"/>
      <c r="J1472" s="3">
        <v>124.42850432580801</v>
      </c>
      <c r="K1472" s="3">
        <v>79.152933730158736</v>
      </c>
    </row>
    <row r="1473" spans="1:11" x14ac:dyDescent="0.2">
      <c r="A1473" s="2" t="s">
        <v>143</v>
      </c>
      <c r="B1473" s="2" t="s">
        <v>144</v>
      </c>
      <c r="C1473" s="3">
        <v>2019</v>
      </c>
      <c r="D1473" s="3">
        <v>79596.702946509817</v>
      </c>
      <c r="E1473" s="3">
        <v>1.91622769832611</v>
      </c>
      <c r="F1473" s="3">
        <v>5.0143899917602504</v>
      </c>
      <c r="G1473" s="3">
        <v>1369</v>
      </c>
      <c r="H1473" s="4">
        <v>8575280</v>
      </c>
      <c r="I1473" s="3">
        <v>3.1968000000000001</v>
      </c>
      <c r="J1473" s="3">
        <v>124.127612180467</v>
      </c>
      <c r="K1473" s="3">
        <v>79.060140165216751</v>
      </c>
    </row>
    <row r="1474" spans="1:11" x14ac:dyDescent="0.2">
      <c r="A1474" s="2" t="s">
        <v>143</v>
      </c>
      <c r="B1474" s="2" t="s">
        <v>144</v>
      </c>
      <c r="C1474" s="3">
        <v>2020</v>
      </c>
      <c r="D1474" s="3">
        <v>77324.887093400728</v>
      </c>
      <c r="E1474" s="3">
        <v>1.97202301025391</v>
      </c>
      <c r="F1474" s="3">
        <v>5.2767601013183603</v>
      </c>
      <c r="G1474" s="3">
        <v>1384</v>
      </c>
      <c r="H1474" s="4">
        <v>8638167</v>
      </c>
      <c r="I1474" s="2"/>
      <c r="J1474" s="3">
        <v>121.7859779983709</v>
      </c>
      <c r="K1474" s="3">
        <v>79.834712969322354</v>
      </c>
    </row>
    <row r="1475" spans="1:11" x14ac:dyDescent="0.2">
      <c r="A1475" s="2" t="s">
        <v>143</v>
      </c>
      <c r="B1475" s="2" t="s">
        <v>144</v>
      </c>
      <c r="C1475" s="3">
        <v>2021</v>
      </c>
      <c r="D1475" s="3">
        <v>81001.411120611752</v>
      </c>
      <c r="E1475" s="3">
        <v>1.9907978773117101</v>
      </c>
      <c r="F1475" s="3">
        <v>5.0370898246765101</v>
      </c>
      <c r="G1475" s="3">
        <v>1288</v>
      </c>
      <c r="H1475" s="4">
        <v>8704546</v>
      </c>
      <c r="I1475" s="3">
        <v>3.3064499999999999</v>
      </c>
      <c r="J1475" s="3">
        <v>130.01626128848929</v>
      </c>
      <c r="K1475" s="3">
        <v>79.638514018620285</v>
      </c>
    </row>
    <row r="1476" spans="1:11" x14ac:dyDescent="0.2">
      <c r="A1476" s="2" t="s">
        <v>145</v>
      </c>
      <c r="B1476" s="2" t="s">
        <v>146</v>
      </c>
      <c r="C1476" s="3">
        <v>2000</v>
      </c>
      <c r="D1476" s="3">
        <v>1365.233274471293</v>
      </c>
      <c r="E1476" s="3">
        <v>-1.1583938598632799</v>
      </c>
      <c r="F1476" s="3">
        <v>2.3287100791931099</v>
      </c>
      <c r="G1476" s="3">
        <v>45</v>
      </c>
      <c r="H1476" s="4">
        <v>6284735</v>
      </c>
      <c r="I1476" s="2"/>
      <c r="J1476" s="3">
        <v>175.3512061342139</v>
      </c>
      <c r="K1476" s="3">
        <v>59.160485292658727</v>
      </c>
    </row>
    <row r="1477" spans="1:11" x14ac:dyDescent="0.2">
      <c r="A1477" s="2" t="s">
        <v>145</v>
      </c>
      <c r="B1477" s="2" t="s">
        <v>146</v>
      </c>
      <c r="C1477" s="3">
        <v>2001</v>
      </c>
      <c r="D1477" s="3">
        <v>1467.3988247463799</v>
      </c>
      <c r="E1477" s="2"/>
      <c r="F1477" s="3">
        <v>2.3765900135040301</v>
      </c>
      <c r="G1477" s="3">
        <v>83</v>
      </c>
      <c r="H1477" s="4">
        <v>6407377</v>
      </c>
      <c r="I1477" s="3">
        <v>8.9529999999999998E-2</v>
      </c>
      <c r="J1477" s="3">
        <v>146.65730556205631</v>
      </c>
      <c r="K1477" s="3">
        <v>59.294088368055561</v>
      </c>
    </row>
    <row r="1478" spans="1:11" x14ac:dyDescent="0.2">
      <c r="A1478" s="2" t="s">
        <v>145</v>
      </c>
      <c r="B1478" s="2" t="s">
        <v>146</v>
      </c>
      <c r="C1478" s="3">
        <v>2002</v>
      </c>
      <c r="D1478" s="3">
        <v>1594.93890470219</v>
      </c>
      <c r="E1478" s="3">
        <v>-1.24116063117981</v>
      </c>
      <c r="F1478" s="3">
        <v>2.77578997612</v>
      </c>
      <c r="G1478" s="3">
        <v>39</v>
      </c>
      <c r="H1478" s="4">
        <v>6531669</v>
      </c>
      <c r="I1478" s="3">
        <v>7.0680000000000007E-2</v>
      </c>
      <c r="J1478" s="3">
        <v>138.6839688324001</v>
      </c>
      <c r="K1478" s="3">
        <v>60.219336309523818</v>
      </c>
    </row>
    <row r="1479" spans="1:11" x14ac:dyDescent="0.2">
      <c r="A1479" s="2" t="s">
        <v>145</v>
      </c>
      <c r="B1479" s="2" t="s">
        <v>146</v>
      </c>
      <c r="C1479" s="3">
        <v>2003</v>
      </c>
      <c r="D1479" s="3">
        <v>1736.640397498551</v>
      </c>
      <c r="E1479" s="3">
        <v>-1.14207339286804</v>
      </c>
      <c r="F1479" s="3">
        <v>2.4207899570465101</v>
      </c>
      <c r="G1479" s="3">
        <v>30</v>
      </c>
      <c r="H1479" s="4">
        <v>6658575</v>
      </c>
      <c r="I1479" s="3">
        <v>6.8849999999999995E-2</v>
      </c>
      <c r="J1479" s="3">
        <v>137.66959297685551</v>
      </c>
      <c r="K1479" s="3">
        <v>60.933938244047631</v>
      </c>
    </row>
    <row r="1480" spans="1:11" x14ac:dyDescent="0.2">
      <c r="A1480" s="2" t="s">
        <v>145</v>
      </c>
      <c r="B1480" s="2" t="s">
        <v>146</v>
      </c>
      <c r="C1480" s="3">
        <v>2004</v>
      </c>
      <c r="D1480" s="3">
        <v>1878.28696227255</v>
      </c>
      <c r="E1480" s="3">
        <v>-0.978848516941071</v>
      </c>
      <c r="F1480" s="3">
        <v>2.7720301151275599</v>
      </c>
      <c r="G1480" s="3">
        <v>32</v>
      </c>
      <c r="H1480" s="4">
        <v>6790547</v>
      </c>
      <c r="I1480" s="3">
        <v>6.6970000000000002E-2</v>
      </c>
      <c r="J1480" s="3">
        <v>128.3381706743632</v>
      </c>
      <c r="K1480" s="3">
        <v>61.755806299603172</v>
      </c>
    </row>
    <row r="1481" spans="1:11" x14ac:dyDescent="0.2">
      <c r="A1481" s="2" t="s">
        <v>145</v>
      </c>
      <c r="B1481" s="2" t="s">
        <v>146</v>
      </c>
      <c r="C1481" s="3">
        <v>2005</v>
      </c>
      <c r="D1481" s="3">
        <v>1965.3002045825649</v>
      </c>
      <c r="E1481" s="3">
        <v>-1.15841937065125</v>
      </c>
      <c r="F1481" s="3">
        <v>3.5121300220489502</v>
      </c>
      <c r="G1481" s="3">
        <v>30</v>
      </c>
      <c r="H1481" s="4">
        <v>6924720</v>
      </c>
      <c r="I1481" s="3">
        <v>9.5699999999999993E-2</v>
      </c>
      <c r="J1481" s="3">
        <v>126.9946993034163</v>
      </c>
      <c r="K1481" s="3">
        <v>62.355904513888888</v>
      </c>
    </row>
    <row r="1482" spans="1:11" x14ac:dyDescent="0.2">
      <c r="A1482" s="2" t="s">
        <v>145</v>
      </c>
      <c r="B1482" s="2" t="s">
        <v>146</v>
      </c>
      <c r="C1482" s="3">
        <v>2006</v>
      </c>
      <c r="D1482" s="3">
        <v>2063.2885082430021</v>
      </c>
      <c r="E1482" s="3">
        <v>-1.0724579095840501</v>
      </c>
      <c r="F1482" s="3">
        <v>3.4035000801086399</v>
      </c>
      <c r="G1482" s="3">
        <v>26</v>
      </c>
      <c r="H1482" s="4">
        <v>7057566</v>
      </c>
      <c r="I1482" s="3">
        <v>0.10732</v>
      </c>
      <c r="J1482" s="3">
        <v>141.15391207472791</v>
      </c>
      <c r="K1482" s="3">
        <v>62.929360119047622</v>
      </c>
    </row>
    <row r="1483" spans="1:11" x14ac:dyDescent="0.2">
      <c r="A1483" s="2" t="s">
        <v>145</v>
      </c>
      <c r="B1483" s="2" t="s">
        <v>146</v>
      </c>
      <c r="C1483" s="3">
        <v>2007</v>
      </c>
      <c r="D1483" s="3">
        <v>2181.897980565358</v>
      </c>
      <c r="E1483" s="3">
        <v>-1.12784206867218</v>
      </c>
      <c r="F1483" s="3">
        <v>3.41326999664307</v>
      </c>
      <c r="G1483" s="2"/>
      <c r="H1483" s="4">
        <v>7194477</v>
      </c>
      <c r="I1483" s="3">
        <v>6.7780000000000007E-2</v>
      </c>
      <c r="J1483" s="3">
        <v>145.5280997157227</v>
      </c>
      <c r="K1483" s="3">
        <v>63.750468377976198</v>
      </c>
    </row>
    <row r="1484" spans="1:11" x14ac:dyDescent="0.2">
      <c r="A1484" s="2" t="s">
        <v>145</v>
      </c>
      <c r="B1484" s="2" t="s">
        <v>146</v>
      </c>
      <c r="C1484" s="3">
        <v>2008</v>
      </c>
      <c r="D1484" s="3">
        <v>2308.094300403342</v>
      </c>
      <c r="E1484" s="3">
        <v>-1.0902243852615401</v>
      </c>
      <c r="F1484" s="3">
        <v>3.4598300457000701</v>
      </c>
      <c r="G1484" s="2"/>
      <c r="H1484" s="4">
        <v>7338403</v>
      </c>
      <c r="I1484" s="3">
        <v>6.9830000000000003E-2</v>
      </c>
      <c r="J1484" s="3">
        <v>114.4801490935788</v>
      </c>
      <c r="K1484" s="3">
        <v>64.037775892857141</v>
      </c>
    </row>
    <row r="1485" spans="1:11" x14ac:dyDescent="0.2">
      <c r="A1485" s="2" t="s">
        <v>145</v>
      </c>
      <c r="B1485" s="2" t="s">
        <v>146</v>
      </c>
      <c r="C1485" s="3">
        <v>2009</v>
      </c>
      <c r="D1485" s="3">
        <v>2349.500302694164</v>
      </c>
      <c r="E1485" s="3">
        <v>-1.1218357086181601</v>
      </c>
      <c r="F1485" s="3">
        <v>4.0983099937439</v>
      </c>
      <c r="G1485" s="3">
        <v>11</v>
      </c>
      <c r="H1485" s="4">
        <v>7490230</v>
      </c>
      <c r="I1485" s="3">
        <v>8.5769999999999999E-2</v>
      </c>
      <c r="J1485" s="3">
        <v>85.978137043410811</v>
      </c>
      <c r="K1485" s="3">
        <v>65.267462872023799</v>
      </c>
    </row>
    <row r="1486" spans="1:11" x14ac:dyDescent="0.2">
      <c r="A1486" s="2" t="s">
        <v>145</v>
      </c>
      <c r="B1486" s="2" t="s">
        <v>146</v>
      </c>
      <c r="C1486" s="3">
        <v>2010</v>
      </c>
      <c r="D1486" s="3">
        <v>2449.2735874535861</v>
      </c>
      <c r="E1486" s="3">
        <v>-0.93161964416503895</v>
      </c>
      <c r="F1486" s="3">
        <v>4.0067501068115199</v>
      </c>
      <c r="G1486" s="3">
        <v>7</v>
      </c>
      <c r="H1486" s="4">
        <v>7652141</v>
      </c>
      <c r="I1486" s="3">
        <v>8.9139999999999997E-2</v>
      </c>
      <c r="J1486" s="3">
        <v>73.493044509472981</v>
      </c>
      <c r="K1486" s="3">
        <v>65.809754365079357</v>
      </c>
    </row>
    <row r="1487" spans="1:11" x14ac:dyDescent="0.2">
      <c r="A1487" s="2" t="s">
        <v>145</v>
      </c>
      <c r="B1487" s="2" t="s">
        <v>146</v>
      </c>
      <c r="C1487" s="3">
        <v>2011</v>
      </c>
      <c r="D1487" s="3">
        <v>2572.480748954978</v>
      </c>
      <c r="E1487" s="3">
        <v>-0.95729881525039695</v>
      </c>
      <c r="F1487" s="3">
        <v>3.9351100921630899</v>
      </c>
      <c r="G1487" s="3">
        <v>4</v>
      </c>
      <c r="H1487" s="4">
        <v>7824785</v>
      </c>
      <c r="I1487" s="3">
        <v>0.12148</v>
      </c>
      <c r="J1487" s="3">
        <v>79.784244673457238</v>
      </c>
      <c r="K1487" s="3">
        <v>66.041341493055555</v>
      </c>
    </row>
    <row r="1488" spans="1:11" x14ac:dyDescent="0.2">
      <c r="A1488" s="2" t="s">
        <v>145</v>
      </c>
      <c r="B1488" s="2" t="s">
        <v>146</v>
      </c>
      <c r="C1488" s="3">
        <v>2012</v>
      </c>
      <c r="D1488" s="3">
        <v>2700.095460373584</v>
      </c>
      <c r="E1488" s="3">
        <v>-0.93637061119079601</v>
      </c>
      <c r="F1488" s="3">
        <v>4.0180301666259801</v>
      </c>
      <c r="G1488" s="3">
        <v>3</v>
      </c>
      <c r="H1488" s="4">
        <v>8014084</v>
      </c>
      <c r="I1488" s="3">
        <v>0.11432</v>
      </c>
      <c r="J1488" s="3">
        <v>83.175944540152813</v>
      </c>
      <c r="K1488" s="3">
        <v>65.972578695436511</v>
      </c>
    </row>
    <row r="1489" spans="1:11" x14ac:dyDescent="0.2">
      <c r="A1489" s="2" t="s">
        <v>145</v>
      </c>
      <c r="B1489" s="2" t="s">
        <v>146</v>
      </c>
      <c r="C1489" s="3">
        <v>2013</v>
      </c>
      <c r="D1489" s="3">
        <v>2828.3854207514751</v>
      </c>
      <c r="E1489" s="3">
        <v>-1.0684857368469201</v>
      </c>
      <c r="F1489" s="3">
        <v>5.2939761790003503</v>
      </c>
      <c r="G1489" s="3">
        <v>2</v>
      </c>
      <c r="H1489" s="4">
        <v>8216724</v>
      </c>
      <c r="I1489" s="3">
        <v>0.11851</v>
      </c>
      <c r="J1489" s="3">
        <v>71.743742888234095</v>
      </c>
      <c r="K1489" s="3">
        <v>66.388951339285725</v>
      </c>
    </row>
    <row r="1490" spans="1:11" x14ac:dyDescent="0.2">
      <c r="A1490" s="2" t="s">
        <v>145</v>
      </c>
      <c r="B1490" s="2" t="s">
        <v>146</v>
      </c>
      <c r="C1490" s="3">
        <v>2014</v>
      </c>
      <c r="D1490" s="3">
        <v>2943.0886791731668</v>
      </c>
      <c r="E1490" s="3">
        <v>-0.79275292158126798</v>
      </c>
      <c r="F1490" s="3">
        <v>5.5939889896675297</v>
      </c>
      <c r="G1490" s="2"/>
      <c r="H1490" s="4">
        <v>8425552</v>
      </c>
      <c r="I1490" s="3">
        <v>0.11624</v>
      </c>
      <c r="J1490" s="3">
        <v>54.607159605370477</v>
      </c>
      <c r="K1490" s="3">
        <v>66.502728794642849</v>
      </c>
    </row>
    <row r="1491" spans="1:11" x14ac:dyDescent="0.2">
      <c r="A1491" s="2" t="s">
        <v>145</v>
      </c>
      <c r="B1491" s="2" t="s">
        <v>146</v>
      </c>
      <c r="C1491" s="3">
        <v>2015</v>
      </c>
      <c r="D1491" s="3">
        <v>3041.44479553257</v>
      </c>
      <c r="E1491" s="3">
        <v>-0.90491437911987305</v>
      </c>
      <c r="F1491" s="3">
        <v>4.9677400588989302</v>
      </c>
      <c r="G1491" s="2"/>
      <c r="H1491" s="4">
        <v>8643840</v>
      </c>
      <c r="I1491" s="3">
        <v>0.10340000000000001</v>
      </c>
      <c r="J1491" s="3">
        <v>49.937816068955513</v>
      </c>
      <c r="K1491" s="3">
        <v>66.024185739087301</v>
      </c>
    </row>
    <row r="1492" spans="1:11" x14ac:dyDescent="0.2">
      <c r="A1492" s="2" t="s">
        <v>145</v>
      </c>
      <c r="B1492" s="2" t="s">
        <v>146</v>
      </c>
      <c r="C1492" s="3">
        <v>2016</v>
      </c>
      <c r="D1492" s="3">
        <v>3169.966782052396</v>
      </c>
      <c r="E1492" s="3">
        <v>-1.0909241437912001</v>
      </c>
      <c r="F1492" s="3">
        <v>5.7309414257633202</v>
      </c>
      <c r="G1492" s="2"/>
      <c r="H1492" s="4">
        <v>8865631</v>
      </c>
      <c r="I1492" s="3">
        <v>0.10621999999999999</v>
      </c>
      <c r="J1492" s="3">
        <v>55.724644690757309</v>
      </c>
      <c r="K1492" s="3">
        <v>66.413141021825382</v>
      </c>
    </row>
    <row r="1493" spans="1:11" x14ac:dyDescent="0.2">
      <c r="A1493" s="2" t="s">
        <v>145</v>
      </c>
      <c r="B1493" s="2" t="s">
        <v>146</v>
      </c>
      <c r="C1493" s="3">
        <v>2017</v>
      </c>
      <c r="D1493" s="3">
        <v>3312.712022435056</v>
      </c>
      <c r="E1493" s="3">
        <v>-1.1824482679367101</v>
      </c>
      <c r="F1493" s="3">
        <v>5.5447176426220199</v>
      </c>
      <c r="G1493" s="2"/>
      <c r="H1493" s="4">
        <v>9085946</v>
      </c>
      <c r="I1493" s="3">
        <v>0.10957</v>
      </c>
      <c r="J1493" s="3">
        <v>53.786104605776742</v>
      </c>
      <c r="K1493" s="3">
        <v>67.264563665674601</v>
      </c>
    </row>
    <row r="1494" spans="1:11" x14ac:dyDescent="0.2">
      <c r="A1494" s="2" t="s">
        <v>145</v>
      </c>
      <c r="B1494" s="2" t="s">
        <v>146</v>
      </c>
      <c r="C1494" s="3">
        <v>2018</v>
      </c>
      <c r="D1494" s="3">
        <v>3479.6923596604061</v>
      </c>
      <c r="E1494" s="3">
        <v>-1.16375720500946</v>
      </c>
      <c r="F1494" s="3">
        <v>5.3850873637755603</v>
      </c>
      <c r="G1494" s="2"/>
      <c r="H1494" s="4">
        <v>9307333</v>
      </c>
      <c r="I1494" s="3">
        <v>9.4009999999999996E-2</v>
      </c>
      <c r="J1494" s="3">
        <v>55.84611141133027</v>
      </c>
      <c r="K1494" s="3">
        <v>67.265042509920647</v>
      </c>
    </row>
    <row r="1495" spans="1:11" x14ac:dyDescent="0.2">
      <c r="A1495" s="2" t="s">
        <v>145</v>
      </c>
      <c r="B1495" s="2" t="s">
        <v>146</v>
      </c>
      <c r="C1495" s="3">
        <v>2019</v>
      </c>
      <c r="D1495" s="3">
        <v>3649.8837551864631</v>
      </c>
      <c r="E1495" s="3">
        <v>-1.11675369739532</v>
      </c>
      <c r="F1495" s="3">
        <v>5.4842762843541504</v>
      </c>
      <c r="G1495" s="3">
        <v>1</v>
      </c>
      <c r="H1495" s="4">
        <v>9529966</v>
      </c>
      <c r="I1495" s="3">
        <v>9.3670000000000003E-2</v>
      </c>
      <c r="J1495" s="3">
        <v>56.045015914589591</v>
      </c>
      <c r="K1495" s="3">
        <v>67.408381969246051</v>
      </c>
    </row>
    <row r="1496" spans="1:11" x14ac:dyDescent="0.2">
      <c r="A1496" s="2" t="s">
        <v>145</v>
      </c>
      <c r="B1496" s="2" t="s">
        <v>146</v>
      </c>
      <c r="C1496" s="3">
        <v>2020</v>
      </c>
      <c r="D1496" s="3">
        <v>3724.7489591465969</v>
      </c>
      <c r="E1496" s="3">
        <v>-0.75922584533691395</v>
      </c>
      <c r="F1496" s="3">
        <v>5.1351682918782302</v>
      </c>
      <c r="G1496" s="2"/>
      <c r="H1496" s="4">
        <v>9749310</v>
      </c>
      <c r="I1496" s="3">
        <v>8.9690000000000006E-2</v>
      </c>
      <c r="J1496" s="3">
        <v>55.749104019495391</v>
      </c>
      <c r="K1496" s="3">
        <v>67.550811607142862</v>
      </c>
    </row>
    <row r="1497" spans="1:11" x14ac:dyDescent="0.2">
      <c r="A1497" s="2" t="s">
        <v>145</v>
      </c>
      <c r="B1497" s="2" t="s">
        <v>146</v>
      </c>
      <c r="C1497" s="3">
        <v>2021</v>
      </c>
      <c r="D1497" s="3">
        <v>3985.9124761121848</v>
      </c>
      <c r="E1497" s="3">
        <v>-0.64504981040954601</v>
      </c>
      <c r="F1497" s="3">
        <v>4.3825308207759903</v>
      </c>
      <c r="G1497" s="2"/>
      <c r="H1497" s="4">
        <v>9966908</v>
      </c>
      <c r="I1497" s="2"/>
      <c r="J1497" s="3">
        <v>71.825937435382968</v>
      </c>
      <c r="K1497" s="3">
        <v>67.881436433531761</v>
      </c>
    </row>
    <row r="1498" spans="1:11" x14ac:dyDescent="0.2">
      <c r="A1498" s="2" t="s">
        <v>147</v>
      </c>
      <c r="B1498" s="2" t="s">
        <v>148</v>
      </c>
      <c r="C1498" s="3">
        <v>2000</v>
      </c>
      <c r="D1498" s="3">
        <v>11622.525027853721</v>
      </c>
      <c r="E1498" s="3">
        <v>0.177485346794128</v>
      </c>
      <c r="F1498" s="3">
        <v>5.2534599304199201</v>
      </c>
      <c r="G1498" s="3">
        <v>561</v>
      </c>
      <c r="H1498" s="4">
        <v>63007815</v>
      </c>
      <c r="I1498" s="3">
        <v>0.24471000000000001</v>
      </c>
      <c r="J1498" s="3">
        <v>121.2979553514721</v>
      </c>
      <c r="K1498" s="3">
        <v>66.860271591970118</v>
      </c>
    </row>
    <row r="1499" spans="1:11" x14ac:dyDescent="0.2">
      <c r="A1499" s="2" t="s">
        <v>147</v>
      </c>
      <c r="B1499" s="2" t="s">
        <v>148</v>
      </c>
      <c r="C1499" s="3">
        <v>2001</v>
      </c>
      <c r="D1499" s="3">
        <v>11901.31821046593</v>
      </c>
      <c r="E1499" s="2"/>
      <c r="F1499" s="3">
        <v>4.81787014007568</v>
      </c>
      <c r="G1499" s="3">
        <v>534</v>
      </c>
      <c r="H1499" s="4">
        <v>63651141</v>
      </c>
      <c r="I1499" s="3">
        <v>0.25230999999999998</v>
      </c>
      <c r="J1499" s="3">
        <v>120.26796627353301</v>
      </c>
      <c r="K1499" s="3">
        <v>67.228260410831012</v>
      </c>
    </row>
    <row r="1500" spans="1:11" x14ac:dyDescent="0.2">
      <c r="A1500" s="2" t="s">
        <v>147</v>
      </c>
      <c r="B1500" s="2" t="s">
        <v>148</v>
      </c>
      <c r="C1500" s="3">
        <v>2002</v>
      </c>
      <c r="D1500" s="3">
        <v>12512.18313249629</v>
      </c>
      <c r="E1500" s="3">
        <v>0.26105105876922602</v>
      </c>
      <c r="F1500" s="3">
        <v>3.8649199008941699</v>
      </c>
      <c r="G1500" s="3">
        <v>615</v>
      </c>
      <c r="H1500" s="4">
        <v>64266437</v>
      </c>
      <c r="I1500" s="3">
        <v>0.23055</v>
      </c>
      <c r="J1500" s="3">
        <v>114.96974302106671</v>
      </c>
      <c r="K1500" s="3">
        <v>67.712674253034564</v>
      </c>
    </row>
    <row r="1501" spans="1:11" x14ac:dyDescent="0.2">
      <c r="A1501" s="2" t="s">
        <v>147</v>
      </c>
      <c r="B1501" s="2" t="s">
        <v>148</v>
      </c>
      <c r="C1501" s="3">
        <v>2003</v>
      </c>
      <c r="D1501" s="3">
        <v>13287.304898745881</v>
      </c>
      <c r="E1501" s="3">
        <v>0.30508330464363098</v>
      </c>
      <c r="F1501" s="3">
        <v>3.7256100177764901</v>
      </c>
      <c r="G1501" s="3">
        <v>802</v>
      </c>
      <c r="H1501" s="4">
        <v>64868166</v>
      </c>
      <c r="I1501" s="3">
        <v>0.24534</v>
      </c>
      <c r="J1501" s="3">
        <v>116.6928197048646</v>
      </c>
      <c r="K1501" s="3">
        <v>67.895945214752572</v>
      </c>
    </row>
    <row r="1502" spans="1:11" x14ac:dyDescent="0.2">
      <c r="A1502" s="2" t="s">
        <v>147</v>
      </c>
      <c r="B1502" s="2" t="s">
        <v>148</v>
      </c>
      <c r="C1502" s="3">
        <v>2004</v>
      </c>
      <c r="D1502" s="3">
        <v>13997.001386729189</v>
      </c>
      <c r="E1502" s="3">
        <v>0.26154786348342901</v>
      </c>
      <c r="F1502" s="3">
        <v>4.0308899879455602</v>
      </c>
      <c r="G1502" s="3">
        <v>819</v>
      </c>
      <c r="H1502" s="4">
        <v>65452047</v>
      </c>
      <c r="I1502" s="3">
        <v>0.23827999999999999</v>
      </c>
      <c r="J1502" s="3">
        <v>127.41187372039271</v>
      </c>
      <c r="K1502" s="3">
        <v>67.759625816993449</v>
      </c>
    </row>
    <row r="1503" spans="1:11" x14ac:dyDescent="0.2">
      <c r="A1503" s="2" t="s">
        <v>147</v>
      </c>
      <c r="B1503" s="2" t="s">
        <v>148</v>
      </c>
      <c r="C1503" s="3">
        <v>2005</v>
      </c>
      <c r="D1503" s="3">
        <v>14458.255181069449</v>
      </c>
      <c r="E1503" s="3">
        <v>0.34090164303779602</v>
      </c>
      <c r="F1503" s="3">
        <v>3.9385900497436501</v>
      </c>
      <c r="G1503" s="3">
        <v>891</v>
      </c>
      <c r="H1503" s="4">
        <v>66017420</v>
      </c>
      <c r="I1503" s="3">
        <v>0.21889</v>
      </c>
      <c r="J1503" s="3">
        <v>137.85386683224741</v>
      </c>
      <c r="K1503" s="3">
        <v>68.140051307189538</v>
      </c>
    </row>
    <row r="1504" spans="1:11" x14ac:dyDescent="0.2">
      <c r="A1504" s="2" t="s">
        <v>147</v>
      </c>
      <c r="B1504" s="2" t="s">
        <v>148</v>
      </c>
      <c r="C1504" s="3">
        <v>2006</v>
      </c>
      <c r="D1504" s="3">
        <v>15051.06067487188</v>
      </c>
      <c r="E1504" s="3">
        <v>0.417947977781296</v>
      </c>
      <c r="F1504" s="3">
        <v>4.0503802299499503</v>
      </c>
      <c r="G1504" s="3">
        <v>1040</v>
      </c>
      <c r="H1504" s="4">
        <v>66567687</v>
      </c>
      <c r="I1504" s="3">
        <v>0.23271</v>
      </c>
      <c r="J1504" s="3">
        <v>134.0869461912682</v>
      </c>
      <c r="K1504" s="3">
        <v>68.754348132586372</v>
      </c>
    </row>
    <row r="1505" spans="1:11" x14ac:dyDescent="0.2">
      <c r="A1505" s="2" t="s">
        <v>147</v>
      </c>
      <c r="B1505" s="2" t="s">
        <v>148</v>
      </c>
      <c r="C1505" s="3">
        <v>2007</v>
      </c>
      <c r="D1505" s="3">
        <v>15742.655289178059</v>
      </c>
      <c r="E1505" s="3">
        <v>0.28591948747634899</v>
      </c>
      <c r="F1505" s="3">
        <v>3.60314989089966</v>
      </c>
      <c r="G1505" s="3">
        <v>945</v>
      </c>
      <c r="H1505" s="4">
        <v>67102394</v>
      </c>
      <c r="I1505" s="3">
        <v>0.20080000000000001</v>
      </c>
      <c r="J1505" s="3">
        <v>129.87322698971749</v>
      </c>
      <c r="K1505" s="3">
        <v>69.246485060690944</v>
      </c>
    </row>
    <row r="1506" spans="1:11" x14ac:dyDescent="0.2">
      <c r="A1506" s="2" t="s">
        <v>147</v>
      </c>
      <c r="B1506" s="2" t="s">
        <v>148</v>
      </c>
      <c r="C1506" s="3">
        <v>2008</v>
      </c>
      <c r="D1506" s="3">
        <v>15891.78234098854</v>
      </c>
      <c r="E1506" s="3">
        <v>0.15694396197795901</v>
      </c>
      <c r="F1506" s="3">
        <v>3.5085000991821298</v>
      </c>
      <c r="G1506" s="3">
        <v>902</v>
      </c>
      <c r="H1506" s="4">
        <v>67619830</v>
      </c>
      <c r="I1506" s="3">
        <v>0.20330999999999999</v>
      </c>
      <c r="J1506" s="3">
        <v>140.43701154093119</v>
      </c>
      <c r="K1506" s="3">
        <v>69.451473692810467</v>
      </c>
    </row>
    <row r="1507" spans="1:11" x14ac:dyDescent="0.2">
      <c r="A1507" s="2" t="s">
        <v>147</v>
      </c>
      <c r="B1507" s="2" t="s">
        <v>148</v>
      </c>
      <c r="C1507" s="3">
        <v>2009</v>
      </c>
      <c r="D1507" s="3">
        <v>15665.9031153449</v>
      </c>
      <c r="E1507" s="3">
        <v>0.206796795129776</v>
      </c>
      <c r="F1507" s="3">
        <v>3.8619399070739799</v>
      </c>
      <c r="G1507" s="3">
        <v>1025</v>
      </c>
      <c r="H1507" s="4">
        <v>68121080</v>
      </c>
      <c r="I1507" s="3">
        <v>0.23455000000000001</v>
      </c>
      <c r="J1507" s="3">
        <v>119.2694188545893</v>
      </c>
      <c r="K1507" s="3">
        <v>69.858809547152191</v>
      </c>
    </row>
    <row r="1508" spans="1:11" x14ac:dyDescent="0.2">
      <c r="A1508" s="2" t="s">
        <v>147</v>
      </c>
      <c r="B1508" s="2" t="s">
        <v>148</v>
      </c>
      <c r="C1508" s="3">
        <v>2010</v>
      </c>
      <c r="D1508" s="3">
        <v>16730.369788448839</v>
      </c>
      <c r="E1508" s="3">
        <v>8.3291068673133906E-2</v>
      </c>
      <c r="F1508" s="3">
        <v>3.50844001770019</v>
      </c>
      <c r="G1508" s="3">
        <v>1214</v>
      </c>
      <c r="H1508" s="4">
        <v>68579447</v>
      </c>
      <c r="I1508" s="2"/>
      <c r="J1508" s="3">
        <v>127.2505226382511</v>
      </c>
      <c r="K1508" s="3">
        <v>70.044068323996271</v>
      </c>
    </row>
    <row r="1509" spans="1:11" x14ac:dyDescent="0.2">
      <c r="A1509" s="2" t="s">
        <v>147</v>
      </c>
      <c r="B1509" s="2" t="s">
        <v>148</v>
      </c>
      <c r="C1509" s="3">
        <v>2011</v>
      </c>
      <c r="D1509" s="3">
        <v>16766.34770578831</v>
      </c>
      <c r="E1509" s="3">
        <v>9.9299393594264998E-2</v>
      </c>
      <c r="F1509" s="3">
        <v>4.8055500984191903</v>
      </c>
      <c r="G1509" s="3">
        <v>927</v>
      </c>
      <c r="H1509" s="4">
        <v>69007208</v>
      </c>
      <c r="I1509" s="3">
        <v>0.36146</v>
      </c>
      <c r="J1509" s="3">
        <v>139.67540722457579</v>
      </c>
      <c r="K1509" s="3">
        <v>70.8138093137255</v>
      </c>
    </row>
    <row r="1510" spans="1:11" x14ac:dyDescent="0.2">
      <c r="A1510" s="2" t="s">
        <v>147</v>
      </c>
      <c r="B1510" s="2" t="s">
        <v>148</v>
      </c>
      <c r="C1510" s="3">
        <v>2012</v>
      </c>
      <c r="D1510" s="3">
        <v>17869.637660745859</v>
      </c>
      <c r="E1510" s="3">
        <v>0.13015991449356101</v>
      </c>
      <c r="F1510" s="3">
        <v>4.5367097854614302</v>
      </c>
      <c r="G1510" s="3">
        <v>1020</v>
      </c>
      <c r="H1510" s="4">
        <v>69436098</v>
      </c>
      <c r="I1510" s="2"/>
      <c r="J1510" s="3">
        <v>137.67493851023951</v>
      </c>
      <c r="K1510" s="3">
        <v>70.446270821662011</v>
      </c>
    </row>
    <row r="1511" spans="1:11" x14ac:dyDescent="0.2">
      <c r="A1511" s="2" t="s">
        <v>147</v>
      </c>
      <c r="B1511" s="2" t="s">
        <v>148</v>
      </c>
      <c r="C1511" s="3">
        <v>2013</v>
      </c>
      <c r="D1511" s="3">
        <v>18242.42567153633</v>
      </c>
      <c r="E1511" s="3">
        <v>0.16293603181839</v>
      </c>
      <c r="F1511" s="3">
        <v>4.1240200996398899</v>
      </c>
      <c r="G1511" s="3">
        <v>1572</v>
      </c>
      <c r="H1511" s="4">
        <v>69845114</v>
      </c>
      <c r="I1511" s="3">
        <v>0.44163999999999998</v>
      </c>
      <c r="J1511" s="3">
        <v>132.46227417426871</v>
      </c>
      <c r="K1511" s="3">
        <v>70.987787768440711</v>
      </c>
    </row>
    <row r="1512" spans="1:11" x14ac:dyDescent="0.2">
      <c r="A1512" s="2" t="s">
        <v>147</v>
      </c>
      <c r="B1512" s="2" t="s">
        <v>148</v>
      </c>
      <c r="C1512" s="3">
        <v>2014</v>
      </c>
      <c r="D1512" s="3">
        <v>18324.614467487459</v>
      </c>
      <c r="E1512" s="3">
        <v>0.256995350122452</v>
      </c>
      <c r="F1512" s="3">
        <v>3.9191775185211202</v>
      </c>
      <c r="G1512" s="3">
        <v>1006</v>
      </c>
      <c r="H1512" s="4">
        <v>70216367</v>
      </c>
      <c r="I1512" s="3">
        <v>0.47987999999999997</v>
      </c>
      <c r="J1512" s="3">
        <v>130.90549544439801</v>
      </c>
      <c r="K1512" s="3">
        <v>72.027235807656396</v>
      </c>
    </row>
    <row r="1513" spans="1:11" x14ac:dyDescent="0.2">
      <c r="A1513" s="2" t="s">
        <v>147</v>
      </c>
      <c r="B1513" s="2" t="s">
        <v>148</v>
      </c>
      <c r="C1513" s="3">
        <v>2015</v>
      </c>
      <c r="D1513" s="3">
        <v>18811.997510006371</v>
      </c>
      <c r="E1513" s="3">
        <v>0.238737538456917</v>
      </c>
      <c r="F1513" s="3">
        <v>3.8639762272728602</v>
      </c>
      <c r="G1513" s="3">
        <v>1029</v>
      </c>
      <c r="H1513" s="4">
        <v>70540795</v>
      </c>
      <c r="I1513" s="3">
        <v>0.61609000000000003</v>
      </c>
      <c r="J1513" s="3">
        <v>124.8396621525262</v>
      </c>
      <c r="K1513" s="3">
        <v>72.760658006535948</v>
      </c>
    </row>
    <row r="1514" spans="1:11" x14ac:dyDescent="0.2">
      <c r="A1514" s="2" t="s">
        <v>147</v>
      </c>
      <c r="B1514" s="2" t="s">
        <v>148</v>
      </c>
      <c r="C1514" s="3">
        <v>2016</v>
      </c>
      <c r="D1514" s="3">
        <v>19370.608781011659</v>
      </c>
      <c r="E1514" s="3">
        <v>0.22570513188839</v>
      </c>
      <c r="F1514" s="3">
        <v>3.7676175677093702</v>
      </c>
      <c r="G1514" s="3">
        <v>1098</v>
      </c>
      <c r="H1514" s="4">
        <v>70859841</v>
      </c>
      <c r="I1514" s="3">
        <v>0.77829000000000004</v>
      </c>
      <c r="J1514" s="3">
        <v>120.5752272891298</v>
      </c>
      <c r="K1514" s="3">
        <v>72.665663702147526</v>
      </c>
    </row>
    <row r="1515" spans="1:11" x14ac:dyDescent="0.2">
      <c r="A1515" s="2" t="s">
        <v>147</v>
      </c>
      <c r="B1515" s="2" t="s">
        <v>148</v>
      </c>
      <c r="C1515" s="3">
        <v>2017</v>
      </c>
      <c r="D1515" s="3">
        <v>20094.677876260292</v>
      </c>
      <c r="E1515" s="3">
        <v>0.257845818996429</v>
      </c>
      <c r="F1515" s="3">
        <v>3.4653214764036502</v>
      </c>
      <c r="G1515" s="3">
        <v>979</v>
      </c>
      <c r="H1515" s="4">
        <v>71160187</v>
      </c>
      <c r="I1515" s="3">
        <v>1.00166</v>
      </c>
      <c r="J1515" s="3">
        <v>120.8914274336379</v>
      </c>
      <c r="K1515" s="3">
        <v>72.638137464986002</v>
      </c>
    </row>
    <row r="1516" spans="1:11" x14ac:dyDescent="0.2">
      <c r="A1516" s="2" t="s">
        <v>147</v>
      </c>
      <c r="B1516" s="2" t="s">
        <v>148</v>
      </c>
      <c r="C1516" s="3">
        <v>2018</v>
      </c>
      <c r="D1516" s="3">
        <v>20879.902782144869</v>
      </c>
      <c r="E1516" s="3">
        <v>0.25453999638557401</v>
      </c>
      <c r="F1516" s="3">
        <v>3.1976939590161901</v>
      </c>
      <c r="G1516" s="3">
        <v>904</v>
      </c>
      <c r="H1516" s="4">
        <v>71376079</v>
      </c>
      <c r="I1516" s="3">
        <v>1.11374</v>
      </c>
      <c r="J1516" s="3">
        <v>120.8418647309838</v>
      </c>
      <c r="K1516" s="3">
        <v>72.987771521942094</v>
      </c>
    </row>
    <row r="1517" spans="1:11" x14ac:dyDescent="0.2">
      <c r="A1517" s="2" t="s">
        <v>147</v>
      </c>
      <c r="B1517" s="2" t="s">
        <v>148</v>
      </c>
      <c r="C1517" s="3">
        <v>2019</v>
      </c>
      <c r="D1517" s="3">
        <v>21277.839268476389</v>
      </c>
      <c r="E1517" s="3">
        <v>0.26060953736305198</v>
      </c>
      <c r="F1517" s="3">
        <v>3.0222141118328198</v>
      </c>
      <c r="G1517" s="3">
        <v>865</v>
      </c>
      <c r="H1517" s="4">
        <v>71522271</v>
      </c>
      <c r="I1517" s="3">
        <v>1.14317</v>
      </c>
      <c r="J1517" s="3">
        <v>109.6895147151661</v>
      </c>
      <c r="K1517" s="3">
        <v>73.465307983193298</v>
      </c>
    </row>
    <row r="1518" spans="1:11" x14ac:dyDescent="0.2">
      <c r="A1518" s="2" t="s">
        <v>147</v>
      </c>
      <c r="B1518" s="2" t="s">
        <v>148</v>
      </c>
      <c r="C1518" s="3">
        <v>2020</v>
      </c>
      <c r="D1518" s="3">
        <v>19957.25714091695</v>
      </c>
      <c r="E1518" s="3">
        <v>0.20181253552436801</v>
      </c>
      <c r="F1518" s="3">
        <v>3.1531417173718301</v>
      </c>
      <c r="G1518" s="3">
        <v>863</v>
      </c>
      <c r="H1518" s="4">
        <v>71641484</v>
      </c>
      <c r="I1518" s="3">
        <v>1.3281799999999999</v>
      </c>
      <c r="J1518" s="3">
        <v>97.800743246517797</v>
      </c>
      <c r="K1518" s="3">
        <v>74.106253711484584</v>
      </c>
    </row>
    <row r="1519" spans="1:11" x14ac:dyDescent="0.2">
      <c r="A1519" s="2" t="s">
        <v>147</v>
      </c>
      <c r="B1519" s="2" t="s">
        <v>148</v>
      </c>
      <c r="C1519" s="3">
        <v>2021</v>
      </c>
      <c r="D1519" s="3">
        <v>20242.770003565591</v>
      </c>
      <c r="E1519" s="3">
        <v>0.220056802034378</v>
      </c>
      <c r="F1519" s="3">
        <v>2.9821242847826799</v>
      </c>
      <c r="G1519" s="3">
        <v>867</v>
      </c>
      <c r="H1519" s="4">
        <v>71727332</v>
      </c>
      <c r="I1519" s="3">
        <v>1.20807</v>
      </c>
      <c r="J1519" s="3">
        <v>117.25294462085201</v>
      </c>
      <c r="K1519" s="3">
        <v>74.485278151260516</v>
      </c>
    </row>
    <row r="1520" spans="1:11" x14ac:dyDescent="0.2">
      <c r="A1520" s="2" t="s">
        <v>149</v>
      </c>
      <c r="B1520" s="2" t="s">
        <v>150</v>
      </c>
      <c r="C1520" s="3">
        <v>2000</v>
      </c>
      <c r="D1520" s="3">
        <v>9134.4150632700494</v>
      </c>
      <c r="E1520" s="3">
        <v>0.41673639416694602</v>
      </c>
      <c r="F1520" s="3">
        <v>6.2019600868225098</v>
      </c>
      <c r="G1520" s="3">
        <v>47</v>
      </c>
      <c r="H1520" s="4">
        <v>9764935</v>
      </c>
      <c r="I1520" s="2"/>
      <c r="J1520" s="3">
        <v>82.639110670191002</v>
      </c>
      <c r="K1520" s="3">
        <v>64.149286299974534</v>
      </c>
    </row>
    <row r="1521" spans="1:11" x14ac:dyDescent="0.2">
      <c r="A1521" s="2" t="s">
        <v>149</v>
      </c>
      <c r="B1521" s="2" t="s">
        <v>150</v>
      </c>
      <c r="C1521" s="3">
        <v>2001</v>
      </c>
      <c r="D1521" s="3">
        <v>9380.5631761702425</v>
      </c>
      <c r="E1521" s="2"/>
      <c r="F1521" s="3">
        <v>6.2018499374389604</v>
      </c>
      <c r="G1521" s="3">
        <v>22</v>
      </c>
      <c r="H1521" s="4">
        <v>9869677</v>
      </c>
      <c r="I1521" s="2"/>
      <c r="J1521" s="3">
        <v>89.552201194466136</v>
      </c>
      <c r="K1521" s="3">
        <v>64.641414941431108</v>
      </c>
    </row>
    <row r="1522" spans="1:11" x14ac:dyDescent="0.2">
      <c r="A1522" s="2" t="s">
        <v>149</v>
      </c>
      <c r="B1522" s="2" t="s">
        <v>150</v>
      </c>
      <c r="C1522" s="3">
        <v>2002</v>
      </c>
      <c r="D1522" s="3">
        <v>9407.5567667159303</v>
      </c>
      <c r="E1522" s="3">
        <v>0.52249872684478804</v>
      </c>
      <c r="F1522" s="3">
        <v>5.79006004333496</v>
      </c>
      <c r="G1522" s="3">
        <v>45</v>
      </c>
      <c r="H1522" s="4">
        <v>9971515</v>
      </c>
      <c r="I1522" s="3">
        <v>0.54301999999999995</v>
      </c>
      <c r="J1522" s="3">
        <v>85.342175969265568</v>
      </c>
      <c r="K1522" s="3">
        <v>64.873901706136991</v>
      </c>
    </row>
    <row r="1523" spans="1:11" x14ac:dyDescent="0.2">
      <c r="A1523" s="2" t="s">
        <v>149</v>
      </c>
      <c r="B1523" s="2" t="s">
        <v>150</v>
      </c>
      <c r="C1523" s="3">
        <v>2003</v>
      </c>
      <c r="D1523" s="3">
        <v>9752.024423358238</v>
      </c>
      <c r="E1523" s="3">
        <v>0.47041907906532299</v>
      </c>
      <c r="F1523" s="3">
        <v>6.81675004959106</v>
      </c>
      <c r="G1523" s="3">
        <v>35</v>
      </c>
      <c r="H1523" s="4">
        <v>10071632</v>
      </c>
      <c r="I1523" s="3">
        <v>0.65044000000000002</v>
      </c>
      <c r="J1523" s="3">
        <v>82.390340709915975</v>
      </c>
      <c r="K1523" s="3">
        <v>65.233292882607586</v>
      </c>
    </row>
    <row r="1524" spans="1:11" x14ac:dyDescent="0.2">
      <c r="A1524" s="2" t="s">
        <v>149</v>
      </c>
      <c r="B1524" s="2" t="s">
        <v>150</v>
      </c>
      <c r="C1524" s="3">
        <v>2004</v>
      </c>
      <c r="D1524" s="3">
        <v>10263.80554224082</v>
      </c>
      <c r="E1524" s="3">
        <v>0.41755706071853599</v>
      </c>
      <c r="F1524" s="3">
        <v>6.7207899093627903</v>
      </c>
      <c r="G1524" s="3">
        <v>46</v>
      </c>
      <c r="H1524" s="4">
        <v>10166163</v>
      </c>
      <c r="I1524" s="3">
        <v>0.73094999999999999</v>
      </c>
      <c r="J1524" s="3">
        <v>86.925344696628343</v>
      </c>
      <c r="K1524" s="3">
        <v>65.48407420847127</v>
      </c>
    </row>
    <row r="1525" spans="1:11" x14ac:dyDescent="0.2">
      <c r="A1525" s="2" t="s">
        <v>149</v>
      </c>
      <c r="B1525" s="2" t="s">
        <v>150</v>
      </c>
      <c r="C1525" s="3">
        <v>2005</v>
      </c>
      <c r="D1525" s="3">
        <v>10529.159895684459</v>
      </c>
      <c r="E1525" s="3">
        <v>0.33972507715225198</v>
      </c>
      <c r="F1525" s="3">
        <v>6.4515700340270996</v>
      </c>
      <c r="G1525" s="3">
        <v>56</v>
      </c>
      <c r="H1525" s="4">
        <v>10255472</v>
      </c>
      <c r="I1525" s="3">
        <v>0.71194999999999997</v>
      </c>
      <c r="J1525" s="3">
        <v>90.251247880394544</v>
      </c>
      <c r="K1525" s="3">
        <v>66.910132688226795</v>
      </c>
    </row>
    <row r="1526" spans="1:11" x14ac:dyDescent="0.2">
      <c r="A1526" s="2" t="s">
        <v>149</v>
      </c>
      <c r="B1526" s="2" t="s">
        <v>150</v>
      </c>
      <c r="C1526" s="3">
        <v>2006</v>
      </c>
      <c r="D1526" s="3">
        <v>10983.922190399129</v>
      </c>
      <c r="E1526" s="3">
        <v>0.67924028635025002</v>
      </c>
      <c r="F1526" s="3">
        <v>6.4387998580932599</v>
      </c>
      <c r="G1526" s="3">
        <v>77</v>
      </c>
      <c r="H1526" s="4">
        <v>10346410</v>
      </c>
      <c r="I1526" s="3">
        <v>0.67728999999999995</v>
      </c>
      <c r="J1526" s="3">
        <v>93.940930409430862</v>
      </c>
      <c r="K1526" s="3">
        <v>67.136005489771676</v>
      </c>
    </row>
    <row r="1527" spans="1:11" x14ac:dyDescent="0.2">
      <c r="A1527" s="2" t="s">
        <v>149</v>
      </c>
      <c r="B1527" s="2" t="s">
        <v>150</v>
      </c>
      <c r="C1527" s="3">
        <v>2007</v>
      </c>
      <c r="D1527" s="3">
        <v>11613.92475114282</v>
      </c>
      <c r="E1527" s="3">
        <v>0.47755607962608299</v>
      </c>
      <c r="F1527" s="3">
        <v>6.4645199775695801</v>
      </c>
      <c r="G1527" s="3">
        <v>76</v>
      </c>
      <c r="H1527" s="4">
        <v>10441702</v>
      </c>
      <c r="I1527" s="3">
        <v>0.66539999999999999</v>
      </c>
      <c r="J1527" s="3">
        <v>104.0594009766467</v>
      </c>
      <c r="K1527" s="3">
        <v>67.566129808590091</v>
      </c>
    </row>
    <row r="1528" spans="1:11" x14ac:dyDescent="0.2">
      <c r="A1528" s="2" t="s">
        <v>149</v>
      </c>
      <c r="B1528" s="2" t="s">
        <v>150</v>
      </c>
      <c r="C1528" s="3">
        <v>2008</v>
      </c>
      <c r="D1528" s="3">
        <v>11990.19623717158</v>
      </c>
      <c r="E1528" s="3">
        <v>0.30629816651344299</v>
      </c>
      <c r="F1528" s="3">
        <v>6.2715702056884801</v>
      </c>
      <c r="G1528" s="3">
        <v>76</v>
      </c>
      <c r="H1528" s="4">
        <v>10542635</v>
      </c>
      <c r="I1528" s="3">
        <v>0.63932999999999995</v>
      </c>
      <c r="J1528" s="3">
        <v>114.3436602186955</v>
      </c>
      <c r="K1528" s="3">
        <v>67.888817581274935</v>
      </c>
    </row>
    <row r="1529" spans="1:11" x14ac:dyDescent="0.2">
      <c r="A1529" s="2" t="s">
        <v>149</v>
      </c>
      <c r="B1529" s="2" t="s">
        <v>150</v>
      </c>
      <c r="C1529" s="3">
        <v>2009</v>
      </c>
      <c r="D1529" s="3">
        <v>12229.77525366927</v>
      </c>
      <c r="E1529" s="3">
        <v>0.36623570322990401</v>
      </c>
      <c r="F1529" s="3">
        <v>6.5284800529479998</v>
      </c>
      <c r="G1529" s="3">
        <v>105</v>
      </c>
      <c r="H1529" s="4">
        <v>10650681</v>
      </c>
      <c r="I1529" s="3">
        <v>0.70643999999999996</v>
      </c>
      <c r="J1529" s="3">
        <v>93.016878787672212</v>
      </c>
      <c r="K1529" s="3">
        <v>68.340251805873862</v>
      </c>
    </row>
    <row r="1530" spans="1:11" x14ac:dyDescent="0.2">
      <c r="A1530" s="2" t="s">
        <v>149</v>
      </c>
      <c r="B1530" s="2" t="s">
        <v>150</v>
      </c>
      <c r="C1530" s="3">
        <v>2010</v>
      </c>
      <c r="D1530" s="3">
        <v>12458.271036655109</v>
      </c>
      <c r="E1530" s="3">
        <v>0.15801629424095201</v>
      </c>
      <c r="F1530" s="3">
        <v>5.9630699157714799</v>
      </c>
      <c r="G1530" s="3">
        <v>113</v>
      </c>
      <c r="H1530" s="4">
        <v>10765980</v>
      </c>
      <c r="I1530" s="3">
        <v>0.65805999999999998</v>
      </c>
      <c r="J1530" s="3">
        <v>100.1510098367993</v>
      </c>
      <c r="K1530" s="3">
        <v>68.997246473134695</v>
      </c>
    </row>
    <row r="1531" spans="1:11" x14ac:dyDescent="0.2">
      <c r="A1531" s="2" t="s">
        <v>149</v>
      </c>
      <c r="B1531" s="2" t="s">
        <v>150</v>
      </c>
      <c r="C1531" s="3">
        <v>2011</v>
      </c>
      <c r="D1531" s="3">
        <v>12068.71362576667</v>
      </c>
      <c r="E1531" s="3">
        <v>-1.4957317616790501E-3</v>
      </c>
      <c r="F1531" s="2"/>
      <c r="G1531" s="3">
        <v>137</v>
      </c>
      <c r="H1531" s="4">
        <v>10886035</v>
      </c>
      <c r="I1531" s="3">
        <v>0.67457999999999996</v>
      </c>
      <c r="J1531" s="3">
        <v>100.1063793042369</v>
      </c>
      <c r="K1531" s="3">
        <v>69.305248830744432</v>
      </c>
    </row>
    <row r="1532" spans="1:11" x14ac:dyDescent="0.2">
      <c r="A1532" s="2" t="s">
        <v>149</v>
      </c>
      <c r="B1532" s="2" t="s">
        <v>150</v>
      </c>
      <c r="C1532" s="3">
        <v>2012</v>
      </c>
      <c r="D1532" s="3">
        <v>12436.395811573509</v>
      </c>
      <c r="E1532" s="3">
        <v>-5.2202887833118397E-2</v>
      </c>
      <c r="F1532" s="3">
        <v>5.9508600234985396</v>
      </c>
      <c r="G1532" s="3">
        <v>150</v>
      </c>
      <c r="H1532" s="4">
        <v>11009647</v>
      </c>
      <c r="I1532" s="3">
        <v>0.64937</v>
      </c>
      <c r="J1532" s="3">
        <v>101.5507239296681</v>
      </c>
      <c r="K1532" s="3">
        <v>69.863356264323912</v>
      </c>
    </row>
    <row r="1533" spans="1:11" x14ac:dyDescent="0.2">
      <c r="A1533" s="2" t="s">
        <v>149</v>
      </c>
      <c r="B1533" s="2" t="s">
        <v>150</v>
      </c>
      <c r="C1533" s="3">
        <v>2013</v>
      </c>
      <c r="D1533" s="3">
        <v>12587.995064559629</v>
      </c>
      <c r="E1533" s="3">
        <v>-5.8742601424455601E-2</v>
      </c>
      <c r="F1533" s="2"/>
      <c r="G1533" s="3">
        <v>112</v>
      </c>
      <c r="H1533" s="4">
        <v>11141361</v>
      </c>
      <c r="I1533" s="3">
        <v>0.63700000000000001</v>
      </c>
      <c r="J1533" s="3">
        <v>98.954956686203815</v>
      </c>
      <c r="K1533" s="3">
        <v>69.880627711993895</v>
      </c>
    </row>
    <row r="1534" spans="1:11" x14ac:dyDescent="0.2">
      <c r="A1534" s="2" t="s">
        <v>149</v>
      </c>
      <c r="B1534" s="2" t="s">
        <v>150</v>
      </c>
      <c r="C1534" s="3">
        <v>2014</v>
      </c>
      <c r="D1534" s="3">
        <v>12824.00289144413</v>
      </c>
      <c r="E1534" s="3">
        <v>-6.6321171820163699E-2</v>
      </c>
      <c r="F1534" s="2"/>
      <c r="G1534" s="3">
        <v>142</v>
      </c>
      <c r="H1534" s="4">
        <v>11274288</v>
      </c>
      <c r="I1534" s="3">
        <v>0.61987999999999999</v>
      </c>
      <c r="J1534" s="3">
        <v>96.107103855870051</v>
      </c>
      <c r="K1534" s="3">
        <v>70.245635945590351</v>
      </c>
    </row>
    <row r="1535" spans="1:11" x14ac:dyDescent="0.2">
      <c r="A1535" s="2" t="s">
        <v>149</v>
      </c>
      <c r="B1535" s="2" t="s">
        <v>150</v>
      </c>
      <c r="C1535" s="3">
        <v>2015</v>
      </c>
      <c r="D1535" s="3">
        <v>12802.79172114331</v>
      </c>
      <c r="E1535" s="3">
        <v>-0.10218794643878901</v>
      </c>
      <c r="F1535" s="3">
        <v>6.2204499244689897</v>
      </c>
      <c r="G1535" s="3">
        <v>180</v>
      </c>
      <c r="H1535" s="4">
        <v>11402264</v>
      </c>
      <c r="I1535" s="3">
        <v>0.59413000000000005</v>
      </c>
      <c r="J1535" s="3">
        <v>87.248530659605223</v>
      </c>
      <c r="K1535" s="3">
        <v>71.032131588999249</v>
      </c>
    </row>
    <row r="1536" spans="1:11" x14ac:dyDescent="0.2">
      <c r="A1536" s="2" t="s">
        <v>149</v>
      </c>
      <c r="B1536" s="2" t="s">
        <v>150</v>
      </c>
      <c r="C1536" s="3">
        <v>2016</v>
      </c>
      <c r="D1536" s="3">
        <v>12803.87973715433</v>
      </c>
      <c r="E1536" s="3">
        <v>-0.206498697400093</v>
      </c>
      <c r="F1536" s="2"/>
      <c r="G1536" s="3">
        <v>235</v>
      </c>
      <c r="H1536" s="4">
        <v>11528674</v>
      </c>
      <c r="I1536" s="3">
        <v>0.56538999999999995</v>
      </c>
      <c r="J1536" s="3">
        <v>87.092664364146586</v>
      </c>
      <c r="K1536" s="3">
        <v>71.216704061624654</v>
      </c>
    </row>
    <row r="1537" spans="1:11" x14ac:dyDescent="0.2">
      <c r="A1537" s="2" t="s">
        <v>149</v>
      </c>
      <c r="B1537" s="2" t="s">
        <v>150</v>
      </c>
      <c r="C1537" s="3">
        <v>2017</v>
      </c>
      <c r="D1537" s="3">
        <v>12955.401481424071</v>
      </c>
      <c r="E1537" s="3">
        <v>-5.0735127180814701E-2</v>
      </c>
      <c r="F1537" s="2"/>
      <c r="G1537" s="3">
        <v>172</v>
      </c>
      <c r="H1537" s="4">
        <v>11650498</v>
      </c>
      <c r="I1537" s="3">
        <v>0.69954000000000005</v>
      </c>
      <c r="J1537" s="3">
        <v>95.8091979825804</v>
      </c>
      <c r="K1537" s="3">
        <v>71.654299997877942</v>
      </c>
    </row>
    <row r="1538" spans="1:11" x14ac:dyDescent="0.2">
      <c r="A1538" s="2" t="s">
        <v>149</v>
      </c>
      <c r="B1538" s="2" t="s">
        <v>150</v>
      </c>
      <c r="C1538" s="3">
        <v>2018</v>
      </c>
      <c r="D1538" s="3">
        <v>13163.195223035669</v>
      </c>
      <c r="E1538" s="3">
        <v>-6.5353824757039504E-3</v>
      </c>
      <c r="F1538" s="2"/>
      <c r="G1538" s="3">
        <v>180</v>
      </c>
      <c r="H1538" s="4">
        <v>11765514</v>
      </c>
      <c r="I1538" s="3">
        <v>0.71645000000000003</v>
      </c>
      <c r="J1538" s="3">
        <v>103.87182426063519</v>
      </c>
      <c r="K1538" s="3">
        <v>71.926141066123421</v>
      </c>
    </row>
    <row r="1539" spans="1:11" x14ac:dyDescent="0.2">
      <c r="A1539" s="2" t="s">
        <v>149</v>
      </c>
      <c r="B1539" s="2" t="s">
        <v>150</v>
      </c>
      <c r="C1539" s="3">
        <v>2019</v>
      </c>
      <c r="D1539" s="3">
        <v>13243.9024233246</v>
      </c>
      <c r="E1539" s="3">
        <v>-3.5373561084270498E-2</v>
      </c>
      <c r="F1539" s="3">
        <v>6.17373240410185</v>
      </c>
      <c r="G1539" s="2"/>
      <c r="H1539" s="4">
        <v>11875081</v>
      </c>
      <c r="I1539" s="3">
        <v>0.74658000000000002</v>
      </c>
      <c r="J1539" s="3">
        <v>102.3326147257893</v>
      </c>
      <c r="K1539" s="3">
        <v>72.458958503098202</v>
      </c>
    </row>
    <row r="1540" spans="1:11" x14ac:dyDescent="0.2">
      <c r="A1540" s="2" t="s">
        <v>149</v>
      </c>
      <c r="B1540" s="2" t="s">
        <v>150</v>
      </c>
      <c r="C1540" s="3">
        <v>2020</v>
      </c>
      <c r="D1540" s="3">
        <v>11955.59836984789</v>
      </c>
      <c r="E1540" s="3">
        <v>-0.18642510473728199</v>
      </c>
      <c r="F1540" s="3">
        <v>7.2650754546778202</v>
      </c>
      <c r="G1540" s="2"/>
      <c r="H1540" s="4">
        <v>11974057</v>
      </c>
      <c r="I1540" s="2"/>
      <c r="J1540" s="3">
        <v>84.333329707176702</v>
      </c>
      <c r="K1540" s="3">
        <v>72.517647228588402</v>
      </c>
    </row>
    <row r="1541" spans="1:11" x14ac:dyDescent="0.2">
      <c r="A1541" s="2" t="s">
        <v>149</v>
      </c>
      <c r="B1541" s="2" t="s">
        <v>150</v>
      </c>
      <c r="C1541" s="3">
        <v>2021</v>
      </c>
      <c r="D1541" s="3">
        <v>12444.326402688701</v>
      </c>
      <c r="E1541" s="3">
        <v>-0.20710712671279899</v>
      </c>
      <c r="F1541" s="3">
        <v>6.6798465624077901</v>
      </c>
      <c r="G1541" s="2"/>
      <c r="H1541" s="4">
        <v>12048622</v>
      </c>
      <c r="I1541" s="2"/>
      <c r="J1541" s="3">
        <v>93.633414066407894</v>
      </c>
      <c r="K1541" s="3">
        <v>72.550836038961052</v>
      </c>
    </row>
    <row r="1542" spans="1:11" x14ac:dyDescent="0.2">
      <c r="A1542" s="2" t="s">
        <v>151</v>
      </c>
      <c r="B1542" s="2" t="s">
        <v>152</v>
      </c>
      <c r="C1542" s="3">
        <v>2000</v>
      </c>
      <c r="D1542" s="3">
        <v>10364.0625</v>
      </c>
      <c r="E1542" s="3">
        <v>-0.67598515748977706</v>
      </c>
      <c r="F1542" s="3">
        <v>4.0229301452636701</v>
      </c>
      <c r="G1542" s="3">
        <v>5620</v>
      </c>
      <c r="H1542" s="4">
        <v>49556660</v>
      </c>
      <c r="I1542" s="3">
        <v>0.92903999999999998</v>
      </c>
      <c r="J1542" s="3">
        <v>115.73571493459301</v>
      </c>
      <c r="K1542" s="3">
        <v>70.029188602543286</v>
      </c>
    </row>
    <row r="1543" spans="1:11" x14ac:dyDescent="0.2">
      <c r="A1543" s="2" t="s">
        <v>151</v>
      </c>
      <c r="B1543" s="2" t="s">
        <v>152</v>
      </c>
      <c r="C1543" s="3">
        <v>2001</v>
      </c>
      <c r="D1543" s="3">
        <v>11379.3857421875</v>
      </c>
      <c r="E1543" s="2"/>
      <c r="F1543" s="3">
        <v>4.5256800651550302</v>
      </c>
      <c r="G1543" s="3">
        <v>7208</v>
      </c>
      <c r="H1543" s="4">
        <v>49106855</v>
      </c>
      <c r="I1543" s="3">
        <v>0.98943999999999999</v>
      </c>
      <c r="J1543" s="3">
        <v>99.926127619273117</v>
      </c>
      <c r="K1543" s="3">
        <v>70.287980296266241</v>
      </c>
    </row>
    <row r="1544" spans="1:11" x14ac:dyDescent="0.2">
      <c r="A1544" s="2" t="s">
        <v>151</v>
      </c>
      <c r="B1544" s="2" t="s">
        <v>152</v>
      </c>
      <c r="C1544" s="3">
        <v>2002</v>
      </c>
      <c r="D1544" s="3">
        <v>12092.7890625</v>
      </c>
      <c r="E1544" s="3">
        <v>-0.69550538063049305</v>
      </c>
      <c r="F1544" s="3">
        <v>5.2400698661804199</v>
      </c>
      <c r="G1544" s="3">
        <v>1601</v>
      </c>
      <c r="H1544" s="4">
        <v>48677281</v>
      </c>
      <c r="I1544" s="3">
        <v>0.96269000000000005</v>
      </c>
      <c r="J1544" s="3">
        <v>95.994669810111986</v>
      </c>
      <c r="K1544" s="3">
        <v>70.507566619318183</v>
      </c>
    </row>
    <row r="1545" spans="1:11" x14ac:dyDescent="0.2">
      <c r="A1545" s="2" t="s">
        <v>151</v>
      </c>
      <c r="B1545" s="2" t="s">
        <v>152</v>
      </c>
      <c r="C1545" s="3">
        <v>2003</v>
      </c>
      <c r="D1545" s="3">
        <v>13342.8798828125</v>
      </c>
      <c r="E1545" s="3">
        <v>-0.67391085624694802</v>
      </c>
      <c r="F1545" s="3">
        <v>5.4001898765564</v>
      </c>
      <c r="G1545" s="3">
        <v>1635</v>
      </c>
      <c r="H1545" s="4">
        <v>48315136</v>
      </c>
      <c r="I1545" s="3">
        <v>1.0716600000000001</v>
      </c>
      <c r="J1545" s="3">
        <v>102.5901822573958</v>
      </c>
      <c r="K1545" s="3">
        <v>70.37873110795455</v>
      </c>
    </row>
    <row r="1546" spans="1:11" x14ac:dyDescent="0.2">
      <c r="A1546" s="2" t="s">
        <v>151</v>
      </c>
      <c r="B1546" s="2" t="s">
        <v>152</v>
      </c>
      <c r="C1546" s="3">
        <v>2004</v>
      </c>
      <c r="D1546" s="3">
        <v>15021.06640625</v>
      </c>
      <c r="E1546" s="3">
        <v>-0.66646319627761796</v>
      </c>
      <c r="F1546" s="3">
        <v>5.1237602233886701</v>
      </c>
      <c r="G1546" s="3">
        <v>4090</v>
      </c>
      <c r="H1546" s="4">
        <v>47979507</v>
      </c>
      <c r="I1546" s="3">
        <v>1.04392</v>
      </c>
      <c r="J1546" s="3">
        <v>109.9817085449623</v>
      </c>
      <c r="K1546" s="3">
        <v>70.700265266504331</v>
      </c>
    </row>
    <row r="1547" spans="1:11" x14ac:dyDescent="0.2">
      <c r="A1547" s="2" t="s">
        <v>151</v>
      </c>
      <c r="B1547" s="2" t="s">
        <v>152</v>
      </c>
      <c r="C1547" s="3">
        <v>2005</v>
      </c>
      <c r="D1547" s="3">
        <v>15610.5732421875</v>
      </c>
      <c r="E1547" s="3">
        <v>-0.67129021883010898</v>
      </c>
      <c r="F1547" s="3">
        <v>5.8481998443603498</v>
      </c>
      <c r="G1547" s="3">
        <v>3538</v>
      </c>
      <c r="H1547" s="4">
        <v>47585556</v>
      </c>
      <c r="I1547" s="3">
        <v>0.99517999999999995</v>
      </c>
      <c r="J1547" s="3">
        <v>94.647570108784791</v>
      </c>
      <c r="K1547" s="3">
        <v>70.910359929653666</v>
      </c>
    </row>
    <row r="1548" spans="1:11" x14ac:dyDescent="0.2">
      <c r="A1548" s="2" t="s">
        <v>151</v>
      </c>
      <c r="B1548" s="2" t="s">
        <v>152</v>
      </c>
      <c r="C1548" s="3">
        <v>2006</v>
      </c>
      <c r="D1548" s="3">
        <v>16901.5078125</v>
      </c>
      <c r="E1548" s="3">
        <v>-0.52342820167541504</v>
      </c>
      <c r="F1548" s="3">
        <v>5.9794597625732404</v>
      </c>
      <c r="G1548" s="3">
        <v>3474</v>
      </c>
      <c r="H1548" s="4">
        <v>47278694</v>
      </c>
      <c r="I1548" s="3">
        <v>0.91403000000000001</v>
      </c>
      <c r="J1548" s="3">
        <v>89.181052639030966</v>
      </c>
      <c r="K1548" s="3">
        <v>70.388053902867952</v>
      </c>
    </row>
    <row r="1549" spans="1:11" x14ac:dyDescent="0.2">
      <c r="A1549" s="2" t="s">
        <v>151</v>
      </c>
      <c r="B1549" s="2" t="s">
        <v>152</v>
      </c>
      <c r="C1549" s="3">
        <v>2007</v>
      </c>
      <c r="D1549" s="3">
        <v>18374.013671875</v>
      </c>
      <c r="E1549" s="3">
        <v>-0.72481530904769897</v>
      </c>
      <c r="F1549" s="3">
        <v>5.9024400711059597</v>
      </c>
      <c r="G1549" s="3">
        <v>3440</v>
      </c>
      <c r="H1549" s="4">
        <v>47062798</v>
      </c>
      <c r="I1549" s="3">
        <v>0.81869000000000003</v>
      </c>
      <c r="J1549" s="3">
        <v>88.046560671862565</v>
      </c>
      <c r="K1549" s="3">
        <v>70.659515171807357</v>
      </c>
    </row>
    <row r="1550" spans="1:11" x14ac:dyDescent="0.2">
      <c r="A1550" s="2" t="s">
        <v>151</v>
      </c>
      <c r="B1550" s="2" t="s">
        <v>152</v>
      </c>
      <c r="C1550" s="3">
        <v>2008</v>
      </c>
      <c r="D1550" s="3">
        <v>18883.986328125</v>
      </c>
      <c r="E1550" s="3">
        <v>-0.78746104240417503</v>
      </c>
      <c r="F1550" s="3">
        <v>6.1524200439453098</v>
      </c>
      <c r="G1550" s="3">
        <v>2825</v>
      </c>
      <c r="H1550" s="4">
        <v>46819175</v>
      </c>
      <c r="I1550" s="3">
        <v>0.80991000000000002</v>
      </c>
      <c r="J1550" s="3">
        <v>94.171892141753446</v>
      </c>
      <c r="K1550" s="3">
        <v>71.032408793290031</v>
      </c>
    </row>
    <row r="1551" spans="1:11" x14ac:dyDescent="0.2">
      <c r="A1551" s="2" t="s">
        <v>151</v>
      </c>
      <c r="B1551" s="2" t="s">
        <v>152</v>
      </c>
      <c r="C1551" s="3">
        <v>2009</v>
      </c>
      <c r="D1551" s="3">
        <v>16092.7958984375</v>
      </c>
      <c r="E1551" s="3">
        <v>-0.844365835189819</v>
      </c>
      <c r="F1551" s="3">
        <v>7.0507497787475604</v>
      </c>
      <c r="G1551" s="3">
        <v>2434</v>
      </c>
      <c r="H1551" s="4">
        <v>46623731</v>
      </c>
      <c r="I1551" s="3">
        <v>0.82596000000000003</v>
      </c>
      <c r="J1551" s="3">
        <v>87.476162620031644</v>
      </c>
      <c r="K1551" s="3">
        <v>70.642741456980517</v>
      </c>
    </row>
    <row r="1552" spans="1:11" x14ac:dyDescent="0.2">
      <c r="A1552" s="2" t="s">
        <v>151</v>
      </c>
      <c r="B1552" s="2" t="s">
        <v>152</v>
      </c>
      <c r="C1552" s="3">
        <v>2010</v>
      </c>
      <c r="D1552" s="3">
        <v>16811.794921875</v>
      </c>
      <c r="E1552" s="3">
        <v>-0.82075399160385099</v>
      </c>
      <c r="F1552" s="2"/>
      <c r="G1552" s="3">
        <v>2556</v>
      </c>
      <c r="H1552" s="4">
        <v>46456003</v>
      </c>
      <c r="I1552" s="3">
        <v>0.80279</v>
      </c>
      <c r="J1552" s="3">
        <v>95.729730453290017</v>
      </c>
      <c r="K1552" s="3">
        <v>71.218820359848493</v>
      </c>
    </row>
    <row r="1553" spans="1:11" x14ac:dyDescent="0.2">
      <c r="A1553" s="2" t="s">
        <v>151</v>
      </c>
      <c r="B1553" s="2" t="s">
        <v>152</v>
      </c>
      <c r="C1553" s="3">
        <v>2011</v>
      </c>
      <c r="D1553" s="3">
        <v>17783.95703125</v>
      </c>
      <c r="E1553" s="3">
        <v>-0.86709398031234697</v>
      </c>
      <c r="F1553" s="3">
        <v>5.9377098083496103</v>
      </c>
      <c r="G1553" s="3">
        <v>2649</v>
      </c>
      <c r="H1553" s="4">
        <v>46307853</v>
      </c>
      <c r="I1553" s="3">
        <v>0.71089999999999998</v>
      </c>
      <c r="J1553" s="3">
        <v>104.80507390425871</v>
      </c>
      <c r="K1553" s="3">
        <v>71.346515232683998</v>
      </c>
    </row>
    <row r="1554" spans="1:11" x14ac:dyDescent="0.2">
      <c r="A1554" s="2" t="s">
        <v>151</v>
      </c>
      <c r="B1554" s="2" t="s">
        <v>152</v>
      </c>
      <c r="C1554" s="3">
        <v>2012</v>
      </c>
      <c r="D1554" s="3">
        <v>17848.740234375</v>
      </c>
      <c r="E1554" s="3">
        <v>-0.59455281496047996</v>
      </c>
      <c r="F1554" s="3">
        <v>6.4426999092102104</v>
      </c>
      <c r="G1554" s="3">
        <v>2491</v>
      </c>
      <c r="H1554" s="4">
        <v>46210056</v>
      </c>
      <c r="I1554" s="3">
        <v>0.72363</v>
      </c>
      <c r="J1554" s="3">
        <v>102.6227883566263</v>
      </c>
      <c r="K1554" s="3">
        <v>71.669426860119046</v>
      </c>
    </row>
    <row r="1555" spans="1:11" x14ac:dyDescent="0.2">
      <c r="A1555" s="2" t="s">
        <v>151</v>
      </c>
      <c r="B1555" s="2" t="s">
        <v>152</v>
      </c>
      <c r="C1555" s="3">
        <v>2013</v>
      </c>
      <c r="D1555" s="3">
        <v>17889.091796875</v>
      </c>
      <c r="E1555" s="3">
        <v>-0.66432207822799705</v>
      </c>
      <c r="F1555" s="3">
        <v>6.41989994049072</v>
      </c>
      <c r="G1555" s="3">
        <v>2856</v>
      </c>
      <c r="H1555" s="4">
        <v>46126770</v>
      </c>
      <c r="I1555" s="3">
        <v>0.73299999999999998</v>
      </c>
      <c r="J1555" s="3">
        <v>94.001669450178198</v>
      </c>
      <c r="K1555" s="3">
        <v>71.845966341991343</v>
      </c>
    </row>
    <row r="1556" spans="1:11" x14ac:dyDescent="0.2">
      <c r="A1556" s="2" t="s">
        <v>151</v>
      </c>
      <c r="B1556" s="2" t="s">
        <v>152</v>
      </c>
      <c r="C1556" s="3">
        <v>2014</v>
      </c>
      <c r="D1556" s="3">
        <v>16978.8125</v>
      </c>
      <c r="E1556" s="3">
        <v>-0.39884689450263999</v>
      </c>
      <c r="F1556" s="3">
        <v>5.87493991851807</v>
      </c>
      <c r="G1556" s="3">
        <v>2457</v>
      </c>
      <c r="H1556" s="4">
        <v>45972380</v>
      </c>
      <c r="I1556" s="3">
        <v>0.65034000000000003</v>
      </c>
      <c r="J1556" s="3">
        <v>100.6917824836239</v>
      </c>
      <c r="K1556" s="3">
        <v>72.218132474296539</v>
      </c>
    </row>
    <row r="1557" spans="1:11" x14ac:dyDescent="0.2">
      <c r="A1557" s="2" t="s">
        <v>151</v>
      </c>
      <c r="B1557" s="2" t="s">
        <v>152</v>
      </c>
      <c r="C1557" s="3">
        <v>2015</v>
      </c>
      <c r="D1557" s="3">
        <v>15403.7099609375</v>
      </c>
      <c r="E1557" s="3">
        <v>-0.55440700054168701</v>
      </c>
      <c r="F1557" s="3">
        <v>5.3395172749509197</v>
      </c>
      <c r="G1557" s="3">
        <v>2271</v>
      </c>
      <c r="H1557" s="4">
        <v>45784896</v>
      </c>
      <c r="I1557" s="3">
        <v>0.61477000000000004</v>
      </c>
      <c r="J1557" s="3">
        <v>107.8066162981558</v>
      </c>
      <c r="K1557" s="3">
        <v>72.637862006222932</v>
      </c>
    </row>
    <row r="1558" spans="1:11" x14ac:dyDescent="0.2">
      <c r="A1558" s="2" t="s">
        <v>151</v>
      </c>
      <c r="B1558" s="2" t="s">
        <v>152</v>
      </c>
      <c r="C1558" s="3">
        <v>2016</v>
      </c>
      <c r="D1558" s="3">
        <v>15856.8125</v>
      </c>
      <c r="E1558" s="3">
        <v>-0.60945755243301403</v>
      </c>
      <c r="F1558" s="3">
        <v>5.0097799301147496</v>
      </c>
      <c r="G1558" s="3">
        <v>2233</v>
      </c>
      <c r="H1558" s="4">
        <v>45616832</v>
      </c>
      <c r="I1558" s="3">
        <v>0.48338999999999999</v>
      </c>
      <c r="J1558" s="3">
        <v>105.5212049131224</v>
      </c>
      <c r="K1558" s="3">
        <v>72.51530850919913</v>
      </c>
    </row>
    <row r="1559" spans="1:11" x14ac:dyDescent="0.2">
      <c r="A1559" s="2" t="s">
        <v>151</v>
      </c>
      <c r="B1559" s="2" t="s">
        <v>152</v>
      </c>
      <c r="C1559" s="3">
        <v>2017</v>
      </c>
      <c r="D1559" s="3">
        <v>16310.3603515625</v>
      </c>
      <c r="E1559" s="3">
        <v>-0.51402235031127896</v>
      </c>
      <c r="F1559" s="3">
        <v>5.4170799255371103</v>
      </c>
      <c r="G1559" s="3">
        <v>2283</v>
      </c>
      <c r="H1559" s="4">
        <v>45436041</v>
      </c>
      <c r="I1559" s="3">
        <v>0.44879000000000002</v>
      </c>
      <c r="J1559" s="3">
        <v>104.0349829113986</v>
      </c>
      <c r="K1559" s="3">
        <v>72.810088453733755</v>
      </c>
    </row>
    <row r="1560" spans="1:11" x14ac:dyDescent="0.2">
      <c r="A1560" s="2" t="s">
        <v>151</v>
      </c>
      <c r="B1560" s="2" t="s">
        <v>152</v>
      </c>
      <c r="C1560" s="3">
        <v>2018</v>
      </c>
      <c r="D1560" s="3">
        <v>16978.984375</v>
      </c>
      <c r="E1560" s="3">
        <v>-0.45963183045387301</v>
      </c>
      <c r="F1560" s="3">
        <v>5.3199200630187997</v>
      </c>
      <c r="G1560" s="3">
        <v>2107</v>
      </c>
      <c r="H1560" s="4">
        <v>45208907</v>
      </c>
      <c r="I1560" s="3">
        <v>0.47112999999999999</v>
      </c>
      <c r="J1560" s="3">
        <v>99.199815071867505</v>
      </c>
      <c r="K1560" s="3">
        <v>72.781761613906923</v>
      </c>
    </row>
    <row r="1561" spans="1:11" x14ac:dyDescent="0.2">
      <c r="A1561" s="2" t="s">
        <v>151</v>
      </c>
      <c r="B1561" s="2" t="s">
        <v>152</v>
      </c>
      <c r="C1561" s="3">
        <v>2019</v>
      </c>
      <c r="D1561" s="3">
        <v>17636.5546875</v>
      </c>
      <c r="E1561" s="3">
        <v>-0.33426675200462302</v>
      </c>
      <c r="F1561" s="3">
        <v>5.4412999153137198</v>
      </c>
      <c r="G1561" s="3">
        <v>2097</v>
      </c>
      <c r="H1561" s="4">
        <v>44957458</v>
      </c>
      <c r="I1561" s="3">
        <v>0.43384</v>
      </c>
      <c r="J1561" s="3">
        <v>90.511234291076278</v>
      </c>
      <c r="K1561" s="3">
        <v>73.186613751352823</v>
      </c>
    </row>
    <row r="1562" spans="1:11" x14ac:dyDescent="0.2">
      <c r="A1562" s="2" t="s">
        <v>151</v>
      </c>
      <c r="B1562" s="2" t="s">
        <v>152</v>
      </c>
      <c r="C1562" s="3">
        <v>2020</v>
      </c>
      <c r="D1562" s="3">
        <v>17092.5390625</v>
      </c>
      <c r="E1562" s="3">
        <v>-0.410091131925583</v>
      </c>
      <c r="F1562" s="3">
        <v>5.3823199272155797</v>
      </c>
      <c r="G1562" s="3">
        <v>1361</v>
      </c>
      <c r="H1562" s="4">
        <v>44680014</v>
      </c>
      <c r="I1562" s="3">
        <v>0.40317999999999998</v>
      </c>
      <c r="J1562" s="3">
        <v>79.156452376181491</v>
      </c>
      <c r="K1562" s="3">
        <v>73.985252029220788</v>
      </c>
    </row>
    <row r="1563" spans="1:11" x14ac:dyDescent="0.2">
      <c r="A1563" s="2" t="s">
        <v>151</v>
      </c>
      <c r="B1563" s="2" t="s">
        <v>152</v>
      </c>
      <c r="C1563" s="3">
        <v>2021</v>
      </c>
      <c r="D1563" s="3">
        <v>17846.408203125</v>
      </c>
      <c r="E1563" s="3">
        <v>-0.43953576683998102</v>
      </c>
      <c r="F1563" s="3">
        <v>5.1401100158691397</v>
      </c>
      <c r="G1563" s="3">
        <v>1302</v>
      </c>
      <c r="H1563" s="4">
        <v>44298640</v>
      </c>
      <c r="I1563" s="3">
        <v>0.38478000000000001</v>
      </c>
      <c r="J1563" s="3">
        <v>82.697961363449991</v>
      </c>
      <c r="K1563" s="3">
        <v>74.616302624458868</v>
      </c>
    </row>
    <row r="1564" spans="1:11" x14ac:dyDescent="0.2">
      <c r="A1564" s="2" t="s">
        <v>153</v>
      </c>
      <c r="B1564" s="2" t="s">
        <v>154</v>
      </c>
      <c r="C1564" s="3">
        <v>2000</v>
      </c>
      <c r="D1564" s="3">
        <v>43115.56300822374</v>
      </c>
      <c r="E1564" s="3">
        <v>1.7688223123550399</v>
      </c>
      <c r="F1564" s="3">
        <v>4.0182199478149396</v>
      </c>
      <c r="G1564" s="3">
        <v>22050</v>
      </c>
      <c r="H1564" s="4">
        <v>58892514</v>
      </c>
      <c r="I1564" s="3">
        <v>1.6096299999999999</v>
      </c>
      <c r="J1564" s="3">
        <v>52.338021233590318</v>
      </c>
      <c r="K1564" s="3">
        <v>76.598039459723282</v>
      </c>
    </row>
    <row r="1565" spans="1:11" x14ac:dyDescent="0.2">
      <c r="A1565" s="2" t="s">
        <v>153</v>
      </c>
      <c r="B1565" s="2" t="s">
        <v>154</v>
      </c>
      <c r="C1565" s="3">
        <v>2001</v>
      </c>
      <c r="D1565" s="3">
        <v>43976.839168578343</v>
      </c>
      <c r="E1565" s="2"/>
      <c r="F1565" s="3">
        <v>4.1001400947570801</v>
      </c>
      <c r="G1565" s="3">
        <v>21423</v>
      </c>
      <c r="H1565" s="4">
        <v>59119673</v>
      </c>
      <c r="I1565" s="3">
        <v>1.59545</v>
      </c>
      <c r="J1565" s="3">
        <v>52.634236733643789</v>
      </c>
      <c r="K1565" s="3">
        <v>76.933127315168491</v>
      </c>
    </row>
    <row r="1566" spans="1:11" x14ac:dyDescent="0.2">
      <c r="A1566" s="2" t="s">
        <v>153</v>
      </c>
      <c r="B1566" s="2" t="s">
        <v>154</v>
      </c>
      <c r="C1566" s="3">
        <v>2002</v>
      </c>
      <c r="D1566" s="3">
        <v>44539.463649285339</v>
      </c>
      <c r="E1566" s="3">
        <v>1.7797255516052199</v>
      </c>
      <c r="F1566" s="3">
        <v>4.6119298934936497</v>
      </c>
      <c r="G1566" s="3">
        <v>20624</v>
      </c>
      <c r="H1566" s="4">
        <v>59370479</v>
      </c>
      <c r="I1566" s="3">
        <v>1.6138300000000001</v>
      </c>
      <c r="J1566" s="3">
        <v>51.2361820991323</v>
      </c>
      <c r="K1566" s="3">
        <v>77.362544766997715</v>
      </c>
    </row>
    <row r="1567" spans="1:11" x14ac:dyDescent="0.2">
      <c r="A1567" s="2" t="s">
        <v>153</v>
      </c>
      <c r="B1567" s="2" t="s">
        <v>154</v>
      </c>
      <c r="C1567" s="3">
        <v>2003</v>
      </c>
      <c r="D1567" s="3">
        <v>45759.402028071461</v>
      </c>
      <c r="E1567" s="3">
        <v>1.7463346719741799</v>
      </c>
      <c r="F1567" s="3">
        <v>4.8012900352478001</v>
      </c>
      <c r="G1567" s="3">
        <v>20426</v>
      </c>
      <c r="H1567" s="4">
        <v>59647577</v>
      </c>
      <c r="I1567" s="3">
        <v>1.58131</v>
      </c>
      <c r="J1567" s="3">
        <v>50.068118703970363</v>
      </c>
      <c r="K1567" s="3">
        <v>77.354251239283585</v>
      </c>
    </row>
    <row r="1568" spans="1:11" x14ac:dyDescent="0.2">
      <c r="A1568" s="2" t="s">
        <v>153</v>
      </c>
      <c r="B1568" s="2" t="s">
        <v>154</v>
      </c>
      <c r="C1568" s="3">
        <v>2004</v>
      </c>
      <c r="D1568" s="3">
        <v>46558.129960069928</v>
      </c>
      <c r="E1568" s="3">
        <v>1.86802077293396</v>
      </c>
      <c r="F1568" s="3">
        <v>4.7355499267578098</v>
      </c>
      <c r="G1568" s="3">
        <v>19178</v>
      </c>
      <c r="H1568" s="4">
        <v>59987905</v>
      </c>
      <c r="I1568" s="3">
        <v>1.5308900000000001</v>
      </c>
      <c r="J1568" s="3">
        <v>50.288552175613333</v>
      </c>
      <c r="K1568" s="3">
        <v>77.311480169340456</v>
      </c>
    </row>
    <row r="1569" spans="1:11" x14ac:dyDescent="0.2">
      <c r="A1569" s="2" t="s">
        <v>153</v>
      </c>
      <c r="B1569" s="2" t="s">
        <v>154</v>
      </c>
      <c r="C1569" s="3">
        <v>2005</v>
      </c>
      <c r="D1569" s="3">
        <v>47529.937751193313</v>
      </c>
      <c r="E1569" s="3">
        <v>1.7615721225738501</v>
      </c>
      <c r="F1569" s="3">
        <v>4.92976999282837</v>
      </c>
      <c r="G1569" s="3">
        <v>17833</v>
      </c>
      <c r="H1569" s="4">
        <v>60401206</v>
      </c>
      <c r="I1569" s="3">
        <v>1.5500400000000001</v>
      </c>
      <c r="J1569" s="3">
        <v>52.54427403832107</v>
      </c>
      <c r="K1569" s="3">
        <v>77.356276886512191</v>
      </c>
    </row>
    <row r="1570" spans="1:11" x14ac:dyDescent="0.2">
      <c r="A1570" s="2" t="s">
        <v>153</v>
      </c>
      <c r="B1570" s="2" t="s">
        <v>154</v>
      </c>
      <c r="C1570" s="3">
        <v>2006</v>
      </c>
      <c r="D1570" s="3">
        <v>48215.048666893817</v>
      </c>
      <c r="E1570" s="3">
        <v>1.6667982339859</v>
      </c>
      <c r="F1570" s="3">
        <v>4.9764900207519496</v>
      </c>
      <c r="G1570" s="3">
        <v>17484</v>
      </c>
      <c r="H1570" s="4">
        <v>60846820</v>
      </c>
      <c r="I1570" s="3">
        <v>1.57626</v>
      </c>
      <c r="J1570" s="3">
        <v>56.704779172981169</v>
      </c>
      <c r="K1570" s="3">
        <v>76.978424855699842</v>
      </c>
    </row>
    <row r="1571" spans="1:11" x14ac:dyDescent="0.2">
      <c r="A1571" s="2" t="s">
        <v>153</v>
      </c>
      <c r="B1571" s="2" t="s">
        <v>154</v>
      </c>
      <c r="C1571" s="3">
        <v>2007</v>
      </c>
      <c r="D1571" s="3">
        <v>49243.251736878941</v>
      </c>
      <c r="E1571" s="3">
        <v>1.6416387557983401</v>
      </c>
      <c r="F1571" s="3">
        <v>4.9244499206543004</v>
      </c>
      <c r="G1571" s="3">
        <v>17375</v>
      </c>
      <c r="H1571" s="4">
        <v>61322463</v>
      </c>
      <c r="I1571" s="3">
        <v>1.6183000000000001</v>
      </c>
      <c r="J1571" s="3">
        <v>52.749352496473293</v>
      </c>
      <c r="K1571" s="3">
        <v>77.074842910194405</v>
      </c>
    </row>
    <row r="1572" spans="1:11" x14ac:dyDescent="0.2">
      <c r="A1572" s="2" t="s">
        <v>153</v>
      </c>
      <c r="B1572" s="2" t="s">
        <v>154</v>
      </c>
      <c r="C1572" s="3">
        <v>2008</v>
      </c>
      <c r="D1572" s="3">
        <v>48833.071235937692</v>
      </c>
      <c r="E1572" s="3">
        <v>1.6348066329956099</v>
      </c>
      <c r="F1572" s="3">
        <v>4.9097399711608896</v>
      </c>
      <c r="G1572" s="3">
        <v>16523</v>
      </c>
      <c r="H1572" s="4">
        <v>61806995</v>
      </c>
      <c r="I1572" s="3">
        <v>1.6090100000000001</v>
      </c>
      <c r="J1572" s="3">
        <v>56.436550105260388</v>
      </c>
      <c r="K1572" s="3">
        <v>77.659599025974018</v>
      </c>
    </row>
    <row r="1573" spans="1:11" x14ac:dyDescent="0.2">
      <c r="A1573" s="2" t="s">
        <v>153</v>
      </c>
      <c r="B1573" s="2" t="s">
        <v>154</v>
      </c>
      <c r="C1573" s="3">
        <v>2009</v>
      </c>
      <c r="D1573" s="3">
        <v>46241.803995735849</v>
      </c>
      <c r="E1573" s="3">
        <v>1.50809645652771</v>
      </c>
      <c r="F1573" s="3">
        <v>5.0626301765441903</v>
      </c>
      <c r="G1573" s="3">
        <v>15985</v>
      </c>
      <c r="H1573" s="4">
        <v>62276270</v>
      </c>
      <c r="I1573" s="3">
        <v>1.66991</v>
      </c>
      <c r="J1573" s="3">
        <v>54.653730108599113</v>
      </c>
      <c r="K1573" s="3">
        <v>78.317449482217114</v>
      </c>
    </row>
    <row r="1574" spans="1:11" x14ac:dyDescent="0.2">
      <c r="A1574" s="2" t="s">
        <v>153</v>
      </c>
      <c r="B1574" s="2" t="s">
        <v>154</v>
      </c>
      <c r="C1574" s="3">
        <v>2010</v>
      </c>
      <c r="D1574" s="3">
        <v>46917.891297483693</v>
      </c>
      <c r="E1574" s="3">
        <v>1.6179975271225</v>
      </c>
      <c r="F1574" s="3">
        <v>5.6986799240112296</v>
      </c>
      <c r="G1574" s="3">
        <v>15490</v>
      </c>
      <c r="H1574" s="4">
        <v>62766365</v>
      </c>
      <c r="I1574" s="3">
        <v>1.63886</v>
      </c>
      <c r="J1574" s="3">
        <v>59.051180222782087</v>
      </c>
      <c r="K1574" s="3">
        <v>78.9846266785502</v>
      </c>
    </row>
    <row r="1575" spans="1:11" x14ac:dyDescent="0.2">
      <c r="A1575" s="2" t="s">
        <v>153</v>
      </c>
      <c r="B1575" s="2" t="s">
        <v>154</v>
      </c>
      <c r="C1575" s="3">
        <v>2011</v>
      </c>
      <c r="D1575" s="3">
        <v>46949.020798133941</v>
      </c>
      <c r="E1575" s="3">
        <v>1.6041946411132799</v>
      </c>
      <c r="F1575" s="3">
        <v>5.5721898078918501</v>
      </c>
      <c r="G1575" s="3">
        <v>15343</v>
      </c>
      <c r="H1575" s="4">
        <v>63258810</v>
      </c>
      <c r="I1575" s="3">
        <v>1.6468100000000001</v>
      </c>
      <c r="J1575" s="3">
        <v>63.324061570890052</v>
      </c>
      <c r="K1575" s="3">
        <v>79.384764287836347</v>
      </c>
    </row>
    <row r="1576" spans="1:11" x14ac:dyDescent="0.2">
      <c r="A1576" s="2" t="s">
        <v>153</v>
      </c>
      <c r="B1576" s="2" t="s">
        <v>154</v>
      </c>
      <c r="C1576" s="3">
        <v>2012</v>
      </c>
      <c r="D1576" s="3">
        <v>47328.210030870243</v>
      </c>
      <c r="E1576" s="3">
        <v>1.5912103652954099</v>
      </c>
      <c r="F1576" s="2"/>
      <c r="G1576" s="3">
        <v>15370</v>
      </c>
      <c r="H1576" s="4">
        <v>63711000</v>
      </c>
      <c r="I1576" s="3">
        <v>1.5758700000000001</v>
      </c>
      <c r="J1576" s="3">
        <v>61.968870447253543</v>
      </c>
      <c r="K1576" s="3">
        <v>79.54432960275021</v>
      </c>
    </row>
    <row r="1577" spans="1:11" x14ac:dyDescent="0.2">
      <c r="A1577" s="2" t="s">
        <v>153</v>
      </c>
      <c r="B1577" s="2" t="s">
        <v>154</v>
      </c>
      <c r="C1577" s="3">
        <v>2013</v>
      </c>
      <c r="D1577" s="3">
        <v>47820.282162700583</v>
      </c>
      <c r="E1577" s="3">
        <v>1.5122665166854901</v>
      </c>
      <c r="F1577" s="3">
        <v>5.5253000259399396</v>
      </c>
      <c r="G1577" s="3">
        <v>14972</v>
      </c>
      <c r="H1577" s="4">
        <v>64139000</v>
      </c>
      <c r="I1577" s="3">
        <v>1.62096</v>
      </c>
      <c r="J1577" s="3">
        <v>61.719539515458287</v>
      </c>
      <c r="K1577" s="3">
        <v>79.517340724471623</v>
      </c>
    </row>
    <row r="1578" spans="1:11" x14ac:dyDescent="0.2">
      <c r="A1578" s="2" t="s">
        <v>153</v>
      </c>
      <c r="B1578" s="2" t="s">
        <v>154</v>
      </c>
      <c r="C1578" s="3">
        <v>2014</v>
      </c>
      <c r="D1578" s="3">
        <v>48964.286351496179</v>
      </c>
      <c r="E1578" s="3">
        <v>1.62349116802216</v>
      </c>
      <c r="F1578" s="3">
        <v>5.6013498306274396</v>
      </c>
      <c r="G1578" s="3">
        <v>15196</v>
      </c>
      <c r="H1578" s="4">
        <v>64620000</v>
      </c>
      <c r="I1578" s="3">
        <v>2.2648799999999998</v>
      </c>
      <c r="J1578" s="3">
        <v>58.821022833329593</v>
      </c>
      <c r="K1578" s="3">
        <v>80.411409878193695</v>
      </c>
    </row>
    <row r="1579" spans="1:11" x14ac:dyDescent="0.2">
      <c r="A1579" s="2" t="s">
        <v>153</v>
      </c>
      <c r="B1579" s="2" t="s">
        <v>154</v>
      </c>
      <c r="C1579" s="3">
        <v>2015</v>
      </c>
      <c r="D1579" s="3">
        <v>49652.718815439723</v>
      </c>
      <c r="E1579" s="3">
        <v>1.70522773265839</v>
      </c>
      <c r="F1579" s="3">
        <v>5.5545201301574698</v>
      </c>
      <c r="G1579" s="3">
        <v>14867</v>
      </c>
      <c r="H1579" s="4">
        <v>65088000</v>
      </c>
      <c r="I1579" s="3">
        <v>2.2756599999999998</v>
      </c>
      <c r="J1579" s="3">
        <v>57.125044605438958</v>
      </c>
      <c r="K1579" s="3">
        <v>80.424665283082931</v>
      </c>
    </row>
    <row r="1580" spans="1:11" x14ac:dyDescent="0.2">
      <c r="A1580" s="2" t="s">
        <v>153</v>
      </c>
      <c r="B1580" s="2" t="s">
        <v>154</v>
      </c>
      <c r="C1580" s="3">
        <v>2016</v>
      </c>
      <c r="D1580" s="3">
        <v>50346.859292571717</v>
      </c>
      <c r="E1580" s="3">
        <v>1.5737774372100799</v>
      </c>
      <c r="F1580" s="3">
        <v>5.4279599189758301</v>
      </c>
      <c r="G1580" s="3">
        <v>13876</v>
      </c>
      <c r="H1580" s="4">
        <v>65607000</v>
      </c>
      <c r="I1580" s="3">
        <v>2.3205200000000001</v>
      </c>
      <c r="J1580" s="3">
        <v>59.839531513825882</v>
      </c>
      <c r="K1580" s="3">
        <v>80.634144539937211</v>
      </c>
    </row>
    <row r="1581" spans="1:11" x14ac:dyDescent="0.2">
      <c r="A1581" s="2" t="s">
        <v>153</v>
      </c>
      <c r="B1581" s="2" t="s">
        <v>154</v>
      </c>
      <c r="C1581" s="3">
        <v>2017</v>
      </c>
      <c r="D1581" s="3">
        <v>51586.675612544532</v>
      </c>
      <c r="E1581" s="3">
        <v>1.4309287071228001</v>
      </c>
      <c r="F1581" s="3">
        <v>5.4525699615478498</v>
      </c>
      <c r="G1581" s="3">
        <v>13301</v>
      </c>
      <c r="H1581" s="4">
        <v>65966000</v>
      </c>
      <c r="I1581" s="3">
        <v>2.3260200000000002</v>
      </c>
      <c r="J1581" s="3">
        <v>63.189924576415848</v>
      </c>
      <c r="K1581" s="3">
        <v>80.896137006620819</v>
      </c>
    </row>
    <row r="1582" spans="1:11" x14ac:dyDescent="0.2">
      <c r="A1582" s="2" t="s">
        <v>153</v>
      </c>
      <c r="B1582" s="2" t="s">
        <v>154</v>
      </c>
      <c r="C1582" s="3">
        <v>2018</v>
      </c>
      <c r="D1582" s="3">
        <v>52131.694824813298</v>
      </c>
      <c r="E1582" s="3">
        <v>1.36169874668121</v>
      </c>
      <c r="F1582" s="3">
        <v>5.2043700218200701</v>
      </c>
      <c r="G1582" s="3">
        <v>12865</v>
      </c>
      <c r="H1582" s="4">
        <v>66289000</v>
      </c>
      <c r="I1582" s="3">
        <v>2.7112400000000001</v>
      </c>
      <c r="J1582" s="3">
        <v>64.909772195920084</v>
      </c>
      <c r="K1582" s="3">
        <v>81.053962622018517</v>
      </c>
    </row>
    <row r="1583" spans="1:11" x14ac:dyDescent="0.2">
      <c r="A1583" s="2" t="s">
        <v>153</v>
      </c>
      <c r="B1583" s="2" t="s">
        <v>154</v>
      </c>
      <c r="C1583" s="3">
        <v>2019</v>
      </c>
      <c r="D1583" s="3">
        <v>52515.684446109037</v>
      </c>
      <c r="E1583" s="3">
        <v>1.4498258829116799</v>
      </c>
      <c r="F1583" s="3">
        <v>5.2611598968505904</v>
      </c>
      <c r="G1583" s="3">
        <v>12061</v>
      </c>
      <c r="H1583" s="4">
        <v>66631000</v>
      </c>
      <c r="I1583" s="3">
        <v>2.6707999999999998</v>
      </c>
      <c r="J1583" s="3">
        <v>65.003566417705414</v>
      </c>
      <c r="K1583" s="3">
        <v>80.985095505474916</v>
      </c>
    </row>
    <row r="1584" spans="1:11" x14ac:dyDescent="0.2">
      <c r="A1584" s="2" t="s">
        <v>153</v>
      </c>
      <c r="B1584" s="2" t="s">
        <v>154</v>
      </c>
      <c r="C1584" s="3">
        <v>2020</v>
      </c>
      <c r="D1584" s="3">
        <v>47158.985486323007</v>
      </c>
      <c r="E1584" s="3">
        <v>1.33215415477753</v>
      </c>
      <c r="F1584" s="3">
        <v>5.4393501281738299</v>
      </c>
      <c r="G1584" s="3">
        <v>11990</v>
      </c>
      <c r="H1584" s="4">
        <v>66744000</v>
      </c>
      <c r="I1584" s="3">
        <v>2.9388299999999998</v>
      </c>
      <c r="J1584" s="3">
        <v>59.159889303061107</v>
      </c>
      <c r="K1584" s="3">
        <v>81.967019465665075</v>
      </c>
    </row>
    <row r="1585" spans="1:11" x14ac:dyDescent="0.2">
      <c r="A1585" s="2" t="s">
        <v>153</v>
      </c>
      <c r="B1585" s="2" t="s">
        <v>154</v>
      </c>
      <c r="C1585" s="3">
        <v>2021</v>
      </c>
      <c r="D1585" s="3">
        <v>51004.427171423813</v>
      </c>
      <c r="E1585" s="3">
        <v>1.23967301845551</v>
      </c>
      <c r="F1585" s="3">
        <v>5.9068298339843803</v>
      </c>
      <c r="G1585" s="3">
        <v>11592</v>
      </c>
      <c r="H1585" s="4">
        <v>66984000</v>
      </c>
      <c r="I1585" s="3">
        <v>2.8971100000000001</v>
      </c>
      <c r="J1585" s="3">
        <v>58.538386292909998</v>
      </c>
      <c r="K1585" s="3">
        <v>81.770087564722871</v>
      </c>
    </row>
    <row r="1586" spans="1:11" x14ac:dyDescent="0.2">
      <c r="A1586" s="2" t="s">
        <v>155</v>
      </c>
      <c r="B1586" s="2" t="s">
        <v>156</v>
      </c>
      <c r="C1586" s="3">
        <v>2000</v>
      </c>
      <c r="D1586" s="3">
        <v>55038.622495945106</v>
      </c>
      <c r="E1586" s="3">
        <v>1.72488653659821</v>
      </c>
      <c r="F1586" s="2"/>
      <c r="G1586" s="3">
        <v>164795</v>
      </c>
      <c r="H1586" s="4">
        <v>282162411</v>
      </c>
      <c r="I1586" s="3">
        <v>2.6198299999999999</v>
      </c>
      <c r="J1586" s="3">
        <v>25.102995359581271</v>
      </c>
      <c r="K1586" s="3">
        <v>71.290503320209211</v>
      </c>
    </row>
    <row r="1587" spans="1:11" x14ac:dyDescent="0.2">
      <c r="A1587" s="2" t="s">
        <v>155</v>
      </c>
      <c r="B1587" s="2" t="s">
        <v>156</v>
      </c>
      <c r="C1587" s="3">
        <v>2001</v>
      </c>
      <c r="D1587" s="3">
        <v>55017.304978660839</v>
      </c>
      <c r="E1587" s="2"/>
      <c r="F1587" s="2"/>
      <c r="G1587" s="3">
        <v>177513</v>
      </c>
      <c r="H1587" s="4">
        <v>284968955</v>
      </c>
      <c r="I1587" s="3">
        <v>2.6371500000000001</v>
      </c>
      <c r="J1587" s="3">
        <v>22.96718133559596</v>
      </c>
      <c r="K1587" s="3">
        <v>71.529232774088669</v>
      </c>
    </row>
    <row r="1588" spans="1:11" x14ac:dyDescent="0.2">
      <c r="A1588" s="2" t="s">
        <v>155</v>
      </c>
      <c r="B1588" s="2" t="s">
        <v>156</v>
      </c>
      <c r="C1588" s="3">
        <v>2002</v>
      </c>
      <c r="D1588" s="3">
        <v>55436.116981377752</v>
      </c>
      <c r="E1588" s="3">
        <v>1.62092781066895</v>
      </c>
      <c r="F1588" s="2"/>
      <c r="G1588" s="3">
        <v>184245</v>
      </c>
      <c r="H1588" s="4">
        <v>287625193</v>
      </c>
      <c r="I1588" s="3">
        <v>2.54745</v>
      </c>
      <c r="J1588" s="3">
        <v>22.28637410948966</v>
      </c>
      <c r="K1588" s="3">
        <v>71.556058798554389</v>
      </c>
    </row>
    <row r="1589" spans="1:11" x14ac:dyDescent="0.2">
      <c r="A1589" s="2" t="s">
        <v>155</v>
      </c>
      <c r="B1589" s="2" t="s">
        <v>156</v>
      </c>
      <c r="C1589" s="3">
        <v>2003</v>
      </c>
      <c r="D1589" s="3">
        <v>56498.207831491112</v>
      </c>
      <c r="E1589" s="3">
        <v>1.5401245355606099</v>
      </c>
      <c r="F1589" s="2"/>
      <c r="G1589" s="3">
        <v>188941</v>
      </c>
      <c r="H1589" s="4">
        <v>290107933</v>
      </c>
      <c r="I1589" s="3">
        <v>2.5501499999999999</v>
      </c>
      <c r="J1589" s="3">
        <v>22.627313006278921</v>
      </c>
      <c r="K1589" s="3">
        <v>71.653169071124964</v>
      </c>
    </row>
    <row r="1590" spans="1:11" x14ac:dyDescent="0.2">
      <c r="A1590" s="2" t="s">
        <v>155</v>
      </c>
      <c r="B1590" s="2" t="s">
        <v>156</v>
      </c>
      <c r="C1590" s="3">
        <v>2004</v>
      </c>
      <c r="D1590" s="3">
        <v>58131.63368534956</v>
      </c>
      <c r="E1590" s="3">
        <v>1.7402578592300399</v>
      </c>
      <c r="F1590" s="2"/>
      <c r="G1590" s="3">
        <v>189536</v>
      </c>
      <c r="H1590" s="4">
        <v>292805298</v>
      </c>
      <c r="I1590" s="3">
        <v>2.4868600000000001</v>
      </c>
      <c r="J1590" s="3">
        <v>24.44806226432566</v>
      </c>
      <c r="K1590" s="3">
        <v>71.762724019118139</v>
      </c>
    </row>
    <row r="1591" spans="1:11" x14ac:dyDescent="0.2">
      <c r="A1591" s="2" t="s">
        <v>155</v>
      </c>
      <c r="B1591" s="2" t="s">
        <v>156</v>
      </c>
      <c r="C1591" s="3">
        <v>2005</v>
      </c>
      <c r="D1591" s="3">
        <v>59604.753637457667</v>
      </c>
      <c r="E1591" s="3">
        <v>1.5310127735137899</v>
      </c>
      <c r="F1591" s="2"/>
      <c r="G1591" s="3">
        <v>207867</v>
      </c>
      <c r="H1591" s="4">
        <v>295516599</v>
      </c>
      <c r="I1591" s="3">
        <v>2.5019300000000002</v>
      </c>
      <c r="J1591" s="3">
        <v>25.638553031651661</v>
      </c>
      <c r="K1591" s="3">
        <v>71.811766067755769</v>
      </c>
    </row>
    <row r="1592" spans="1:11" x14ac:dyDescent="0.2">
      <c r="A1592" s="2" t="s">
        <v>155</v>
      </c>
      <c r="B1592" s="2" t="s">
        <v>156</v>
      </c>
      <c r="C1592" s="3">
        <v>2006</v>
      </c>
      <c r="D1592" s="3">
        <v>60676.565569066363</v>
      </c>
      <c r="E1592" s="3">
        <v>1.5816855430603001</v>
      </c>
      <c r="F1592" s="2"/>
      <c r="G1592" s="3">
        <v>221784</v>
      </c>
      <c r="H1592" s="4">
        <v>298379912</v>
      </c>
      <c r="I1592" s="3">
        <v>2.5454500000000002</v>
      </c>
      <c r="J1592" s="3">
        <v>26.975278097319681</v>
      </c>
      <c r="K1592" s="3">
        <v>71.734521174413828</v>
      </c>
    </row>
    <row r="1593" spans="1:11" x14ac:dyDescent="0.2">
      <c r="A1593" s="2" t="s">
        <v>155</v>
      </c>
      <c r="B1593" s="2" t="s">
        <v>156</v>
      </c>
      <c r="C1593" s="3">
        <v>2007</v>
      </c>
      <c r="D1593" s="3">
        <v>61306.596938633033</v>
      </c>
      <c r="E1593" s="3">
        <v>1.64327275753021</v>
      </c>
      <c r="F1593" s="2"/>
      <c r="G1593" s="3">
        <v>241347</v>
      </c>
      <c r="H1593" s="4">
        <v>301231207</v>
      </c>
      <c r="I1593" s="3">
        <v>2.6151599999999999</v>
      </c>
      <c r="J1593" s="3">
        <v>28.01201768226667</v>
      </c>
      <c r="K1593" s="3">
        <v>72.091051514172108</v>
      </c>
    </row>
    <row r="1594" spans="1:11" x14ac:dyDescent="0.2">
      <c r="A1594" s="2" t="s">
        <v>155</v>
      </c>
      <c r="B1594" s="2" t="s">
        <v>156</v>
      </c>
      <c r="C1594" s="3">
        <v>2008</v>
      </c>
      <c r="D1594" s="3">
        <v>60798.433840160556</v>
      </c>
      <c r="E1594" s="3">
        <v>1.60507559776306</v>
      </c>
      <c r="F1594" s="2"/>
      <c r="G1594" s="3">
        <v>231588</v>
      </c>
      <c r="H1594" s="4">
        <v>304093966</v>
      </c>
      <c r="I1594" s="3">
        <v>2.7448100000000002</v>
      </c>
      <c r="J1594" s="3">
        <v>29.867795794531929</v>
      </c>
      <c r="K1594" s="3">
        <v>72.356492804254572</v>
      </c>
    </row>
    <row r="1595" spans="1:11" x14ac:dyDescent="0.2">
      <c r="A1595" s="2" t="s">
        <v>155</v>
      </c>
      <c r="B1595" s="2" t="s">
        <v>156</v>
      </c>
      <c r="C1595" s="3">
        <v>2009</v>
      </c>
      <c r="D1595" s="3">
        <v>58714.973691586121</v>
      </c>
      <c r="E1595" s="3">
        <v>1.50298464298248</v>
      </c>
      <c r="F1595" s="2"/>
      <c r="G1595" s="3">
        <v>224912</v>
      </c>
      <c r="H1595" s="4">
        <v>306771529</v>
      </c>
      <c r="I1595" s="3">
        <v>2.7918099999999999</v>
      </c>
      <c r="J1595" s="3">
        <v>24.759531168987639</v>
      </c>
      <c r="K1595" s="3">
        <v>72.996295321835007</v>
      </c>
    </row>
    <row r="1596" spans="1:11" x14ac:dyDescent="0.2">
      <c r="A1596" s="2" t="s">
        <v>155</v>
      </c>
      <c r="B1596" s="2" t="s">
        <v>156</v>
      </c>
      <c r="C1596" s="3">
        <v>2010</v>
      </c>
      <c r="D1596" s="3">
        <v>59789.412906974881</v>
      </c>
      <c r="E1596" s="3">
        <v>1.5522720813751201</v>
      </c>
      <c r="F1596" s="2"/>
      <c r="G1596" s="3">
        <v>241977</v>
      </c>
      <c r="H1596" s="4">
        <v>309378227</v>
      </c>
      <c r="I1596" s="3">
        <v>2.7144400000000002</v>
      </c>
      <c r="J1596" s="3">
        <v>28.219895234673061</v>
      </c>
      <c r="K1596" s="3">
        <v>73.253297532369587</v>
      </c>
    </row>
    <row r="1597" spans="1:11" x14ac:dyDescent="0.2">
      <c r="A1597" s="2" t="s">
        <v>155</v>
      </c>
      <c r="B1597" s="2" t="s">
        <v>156</v>
      </c>
      <c r="C1597" s="3">
        <v>2011</v>
      </c>
      <c r="D1597" s="3">
        <v>60245.484399456509</v>
      </c>
      <c r="E1597" s="3">
        <v>1.5137984752655</v>
      </c>
      <c r="F1597" s="2"/>
      <c r="G1597" s="3">
        <v>247750</v>
      </c>
      <c r="H1597" s="4">
        <v>311839461</v>
      </c>
      <c r="I1597" s="3">
        <v>2.7380300000000002</v>
      </c>
      <c r="J1597" s="3">
        <v>30.84248624119434</v>
      </c>
      <c r="K1597" s="3">
        <v>73.529266864018311</v>
      </c>
    </row>
    <row r="1598" spans="1:11" x14ac:dyDescent="0.2">
      <c r="A1598" s="2" t="s">
        <v>155</v>
      </c>
      <c r="B1598" s="2" t="s">
        <v>156</v>
      </c>
      <c r="C1598" s="3">
        <v>2012</v>
      </c>
      <c r="D1598" s="3">
        <v>61134.530608776033</v>
      </c>
      <c r="E1598" s="3">
        <v>1.5213223695755</v>
      </c>
      <c r="F1598" s="2"/>
      <c r="G1598" s="3">
        <v>268782</v>
      </c>
      <c r="H1598" s="4">
        <v>314339099</v>
      </c>
      <c r="I1598" s="3">
        <v>2.6727300000000001</v>
      </c>
      <c r="J1598" s="3">
        <v>30.681835365729551</v>
      </c>
      <c r="K1598" s="3">
        <v>73.763618761140819</v>
      </c>
    </row>
    <row r="1599" spans="1:11" x14ac:dyDescent="0.2">
      <c r="A1599" s="2" t="s">
        <v>155</v>
      </c>
      <c r="B1599" s="2" t="s">
        <v>156</v>
      </c>
      <c r="C1599" s="3">
        <v>2013</v>
      </c>
      <c r="D1599" s="3">
        <v>61958.723441695292</v>
      </c>
      <c r="E1599" s="3">
        <v>1.5164766311645499</v>
      </c>
      <c r="F1599" s="2"/>
      <c r="G1599" s="3">
        <v>287831</v>
      </c>
      <c r="H1599" s="4">
        <v>316726282</v>
      </c>
      <c r="I1599" s="3">
        <v>2.6959200000000001</v>
      </c>
      <c r="J1599" s="3">
        <v>30.007953968464509</v>
      </c>
      <c r="K1599" s="3">
        <v>73.751462797496629</v>
      </c>
    </row>
    <row r="1600" spans="1:11" x14ac:dyDescent="0.2">
      <c r="A1600" s="2" t="s">
        <v>155</v>
      </c>
      <c r="B1600" s="2" t="s">
        <v>156</v>
      </c>
      <c r="C1600" s="3">
        <v>2014</v>
      </c>
      <c r="D1600" s="3">
        <v>63018.803394219191</v>
      </c>
      <c r="E1600" s="3">
        <v>1.46162545681</v>
      </c>
      <c r="F1600" s="2"/>
      <c r="G1600" s="3">
        <v>285096</v>
      </c>
      <c r="H1600" s="4">
        <v>319257560</v>
      </c>
      <c r="I1600" s="3">
        <v>2.7088100000000002</v>
      </c>
      <c r="J1600" s="3">
        <v>30.00447816148553</v>
      </c>
      <c r="K1600" s="3">
        <v>74.058886620242518</v>
      </c>
    </row>
    <row r="1601" spans="1:11" x14ac:dyDescent="0.2">
      <c r="A1601" s="2" t="s">
        <v>155</v>
      </c>
      <c r="B1601" s="2" t="s">
        <v>156</v>
      </c>
      <c r="C1601" s="3">
        <v>2015</v>
      </c>
      <c r="D1601" s="3">
        <v>64359.472589946621</v>
      </c>
      <c r="E1601" s="3">
        <v>1.4321992397308301</v>
      </c>
      <c r="F1601" s="3">
        <v>4.9306302070617702</v>
      </c>
      <c r="G1601" s="3">
        <v>288335</v>
      </c>
      <c r="H1601" s="4">
        <v>321815121</v>
      </c>
      <c r="I1601" s="3">
        <v>2.7732800000000002</v>
      </c>
      <c r="J1601" s="3">
        <v>27.823564918787209</v>
      </c>
      <c r="K1601" s="3">
        <v>73.993968056943075</v>
      </c>
    </row>
    <row r="1602" spans="1:11" x14ac:dyDescent="0.2">
      <c r="A1602" s="2" t="s">
        <v>155</v>
      </c>
      <c r="B1602" s="2" t="s">
        <v>156</v>
      </c>
      <c r="C1602" s="3">
        <v>2016</v>
      </c>
      <c r="D1602" s="3">
        <v>65017.65496386696</v>
      </c>
      <c r="E1602" s="3">
        <v>1.4405049085617101</v>
      </c>
      <c r="F1602" s="3">
        <v>4.7832798957824698</v>
      </c>
      <c r="G1602" s="3">
        <v>295327</v>
      </c>
      <c r="H1602" s="4">
        <v>324353340</v>
      </c>
      <c r="I1602" s="3">
        <v>2.8367599999999999</v>
      </c>
      <c r="J1602" s="3">
        <v>26.60796206045837</v>
      </c>
      <c r="K1602" s="3">
        <v>74.285233860257392</v>
      </c>
    </row>
    <row r="1603" spans="1:11" x14ac:dyDescent="0.2">
      <c r="A1603" s="2" t="s">
        <v>155</v>
      </c>
      <c r="B1603" s="2" t="s">
        <v>156</v>
      </c>
      <c r="C1603" s="3">
        <v>2017</v>
      </c>
      <c r="D1603" s="3">
        <v>66155.555567624921</v>
      </c>
      <c r="E1603" s="3">
        <v>1.51742815971375</v>
      </c>
      <c r="F1603" s="3">
        <v>5.0929698944091797</v>
      </c>
      <c r="G1603" s="3">
        <v>293904</v>
      </c>
      <c r="H1603" s="4">
        <v>326608609</v>
      </c>
      <c r="I1603" s="3">
        <v>2.8835700000000002</v>
      </c>
      <c r="J1603" s="3">
        <v>27.313020887720558</v>
      </c>
      <c r="K1603" s="3">
        <v>74.624245586766165</v>
      </c>
    </row>
    <row r="1604" spans="1:11" x14ac:dyDescent="0.2">
      <c r="A1604" s="2" t="s">
        <v>155</v>
      </c>
      <c r="B1604" s="2" t="s">
        <v>156</v>
      </c>
      <c r="C1604" s="3">
        <v>2018</v>
      </c>
      <c r="D1604" s="3">
        <v>67719.765639206395</v>
      </c>
      <c r="E1604" s="3">
        <v>1.5369721651077299</v>
      </c>
      <c r="F1604" s="3">
        <v>4.89502000808716</v>
      </c>
      <c r="G1604" s="3">
        <v>285095</v>
      </c>
      <c r="H1604" s="4">
        <v>328529577</v>
      </c>
      <c r="I1604" s="3">
        <v>2.9904500000000001</v>
      </c>
      <c r="J1604" s="3">
        <v>27.610379272095798</v>
      </c>
      <c r="K1604" s="3">
        <v>74.360589975220876</v>
      </c>
    </row>
    <row r="1605" spans="1:11" x14ac:dyDescent="0.2">
      <c r="A1605" s="2" t="s">
        <v>155</v>
      </c>
      <c r="B1605" s="2" t="s">
        <v>156</v>
      </c>
      <c r="C1605" s="3">
        <v>2019</v>
      </c>
      <c r="D1605" s="3">
        <v>69112.602688656028</v>
      </c>
      <c r="E1605" s="3">
        <v>1.4534150362014799</v>
      </c>
      <c r="F1605" s="3">
        <v>4.9574699401855504</v>
      </c>
      <c r="G1605" s="3">
        <v>285113</v>
      </c>
      <c r="H1605" s="4">
        <v>330226227</v>
      </c>
      <c r="I1605" s="3">
        <v>3.1470400000000001</v>
      </c>
      <c r="J1605" s="3">
        <v>26.453759494047539</v>
      </c>
      <c r="K1605" s="3">
        <v>74.515753959765718</v>
      </c>
    </row>
    <row r="1606" spans="1:11" x14ac:dyDescent="0.2">
      <c r="A1606" s="2" t="s">
        <v>155</v>
      </c>
      <c r="B1606" s="2" t="s">
        <v>156</v>
      </c>
      <c r="C1606" s="3">
        <v>2020</v>
      </c>
      <c r="D1606" s="3">
        <v>67342.070928772169</v>
      </c>
      <c r="E1606" s="3">
        <v>1.2745932340621899</v>
      </c>
      <c r="F1606" s="3">
        <v>5.3953199386596697</v>
      </c>
      <c r="G1606" s="3">
        <v>269586</v>
      </c>
      <c r="H1606" s="4">
        <v>331577720</v>
      </c>
      <c r="I1606" s="3">
        <v>3.4246699999999999</v>
      </c>
      <c r="J1606" s="3">
        <v>23.401562996939429</v>
      </c>
      <c r="K1606" s="3">
        <v>75.235505916632405</v>
      </c>
    </row>
    <row r="1607" spans="1:11" x14ac:dyDescent="0.2">
      <c r="A1607" s="2" t="s">
        <v>155</v>
      </c>
      <c r="B1607" s="2" t="s">
        <v>156</v>
      </c>
      <c r="C1607" s="3">
        <v>2021</v>
      </c>
      <c r="D1607" s="3">
        <v>71307.401727721808</v>
      </c>
      <c r="E1607" s="3">
        <v>1.2975310087203999</v>
      </c>
      <c r="F1607" s="3">
        <v>5.4203801155090297</v>
      </c>
      <c r="G1607" s="3">
        <v>262244</v>
      </c>
      <c r="H1607" s="4">
        <v>332099760</v>
      </c>
      <c r="I1607" s="3">
        <v>3.4831300000000001</v>
      </c>
      <c r="J1607" s="3">
        <v>25.609557662193211</v>
      </c>
      <c r="K1607" s="3">
        <v>75.177822954006785</v>
      </c>
    </row>
    <row r="1608" spans="1:11" x14ac:dyDescent="0.2">
      <c r="A1608" s="2" t="s">
        <v>157</v>
      </c>
      <c r="B1608" s="2" t="s">
        <v>158</v>
      </c>
      <c r="C1608" s="3">
        <v>2000</v>
      </c>
      <c r="D1608" s="3">
        <v>18752.057811296581</v>
      </c>
      <c r="E1608" s="3">
        <v>0.416957408189774</v>
      </c>
      <c r="F1608" s="3">
        <v>2.4225499629974401</v>
      </c>
      <c r="G1608" s="3">
        <v>44</v>
      </c>
      <c r="H1608" s="4">
        <v>3266206</v>
      </c>
      <c r="I1608" s="3">
        <v>0.20924999999999999</v>
      </c>
      <c r="J1608" s="3">
        <v>36.713738150790228</v>
      </c>
      <c r="K1608" s="3">
        <v>70.119838309566234</v>
      </c>
    </row>
    <row r="1609" spans="1:11" x14ac:dyDescent="0.2">
      <c r="A1609" s="2" t="s">
        <v>157</v>
      </c>
      <c r="B1609" s="2" t="s">
        <v>158</v>
      </c>
      <c r="C1609" s="3">
        <v>2001</v>
      </c>
      <c r="D1609" s="3">
        <v>17986.900759643271</v>
      </c>
      <c r="E1609" s="2"/>
      <c r="F1609" s="3">
        <v>2.8009600639343302</v>
      </c>
      <c r="G1609" s="3">
        <v>52</v>
      </c>
      <c r="H1609" s="4">
        <v>3274251</v>
      </c>
      <c r="I1609" s="2"/>
      <c r="J1609" s="3">
        <v>36.309512643505663</v>
      </c>
      <c r="K1609" s="3">
        <v>69.695709515321283</v>
      </c>
    </row>
    <row r="1610" spans="1:11" x14ac:dyDescent="0.2">
      <c r="A1610" s="2" t="s">
        <v>157</v>
      </c>
      <c r="B1610" s="2" t="s">
        <v>158</v>
      </c>
      <c r="C1610" s="3">
        <v>2002</v>
      </c>
      <c r="D1610" s="3">
        <v>16572.78817601335</v>
      </c>
      <c r="E1610" s="3">
        <v>0.58860665559768699</v>
      </c>
      <c r="F1610" s="3">
        <v>2.3222000598907502</v>
      </c>
      <c r="G1610" s="3">
        <v>30</v>
      </c>
      <c r="H1610" s="4">
        <v>3278867</v>
      </c>
      <c r="I1610" s="3">
        <v>0.23818</v>
      </c>
      <c r="J1610" s="3">
        <v>40.029067307559963</v>
      </c>
      <c r="K1610" s="3">
        <v>69.713714340887876</v>
      </c>
    </row>
    <row r="1611" spans="1:11" x14ac:dyDescent="0.2">
      <c r="A1611" s="2" t="s">
        <v>157</v>
      </c>
      <c r="B1611" s="2" t="s">
        <v>158</v>
      </c>
      <c r="C1611" s="3">
        <v>2003</v>
      </c>
      <c r="D1611" s="3">
        <v>16694.438923159469</v>
      </c>
      <c r="E1611" s="3">
        <v>0.45694509148597701</v>
      </c>
      <c r="F1611" s="3">
        <v>2.0682098865509002</v>
      </c>
      <c r="G1611" s="3">
        <v>45</v>
      </c>
      <c r="H1611" s="4">
        <v>3281186</v>
      </c>
      <c r="I1611" s="2"/>
      <c r="J1611" s="3">
        <v>51.759199582647241</v>
      </c>
      <c r="K1611" s="3">
        <v>69.939781217638568</v>
      </c>
    </row>
    <row r="1612" spans="1:11" x14ac:dyDescent="0.2">
      <c r="A1612" s="2" t="s">
        <v>157</v>
      </c>
      <c r="B1612" s="2" t="s">
        <v>158</v>
      </c>
      <c r="C1612" s="3">
        <v>2004</v>
      </c>
      <c r="D1612" s="3">
        <v>17519.37962511327</v>
      </c>
      <c r="E1612" s="3">
        <v>0.30318480730056802</v>
      </c>
      <c r="F1612" s="3">
        <v>2.49954009056091</v>
      </c>
      <c r="G1612" s="3">
        <v>37</v>
      </c>
      <c r="H1612" s="4">
        <v>3283148</v>
      </c>
      <c r="I1612" s="2"/>
      <c r="J1612" s="3">
        <v>61.476688086024197</v>
      </c>
      <c r="K1612" s="3">
        <v>69.8685095471522</v>
      </c>
    </row>
    <row r="1613" spans="1:11" x14ac:dyDescent="0.2">
      <c r="A1613" s="2" t="s">
        <v>157</v>
      </c>
      <c r="B1613" s="2" t="s">
        <v>158</v>
      </c>
      <c r="C1613" s="3">
        <v>2005</v>
      </c>
      <c r="D1613" s="3">
        <v>18811.319597102069</v>
      </c>
      <c r="E1613" s="3">
        <v>0.492236137390137</v>
      </c>
      <c r="F1613" s="3">
        <v>2.71475005149841</v>
      </c>
      <c r="G1613" s="3">
        <v>24</v>
      </c>
      <c r="H1613" s="4">
        <v>3285771</v>
      </c>
      <c r="I1613" s="3">
        <v>0.46031</v>
      </c>
      <c r="J1613" s="3">
        <v>58.877696325577453</v>
      </c>
      <c r="K1613" s="3">
        <v>70.562212102113563</v>
      </c>
    </row>
    <row r="1614" spans="1:11" x14ac:dyDescent="0.2">
      <c r="A1614" s="2" t="s">
        <v>157</v>
      </c>
      <c r="B1614" s="2" t="s">
        <v>158</v>
      </c>
      <c r="C1614" s="3">
        <v>2006</v>
      </c>
      <c r="D1614" s="3">
        <v>19560.081755640531</v>
      </c>
      <c r="E1614" s="3">
        <v>0.37988367676734902</v>
      </c>
      <c r="F1614" s="3">
        <v>2.85664010047913</v>
      </c>
      <c r="G1614" s="3">
        <v>31</v>
      </c>
      <c r="H1614" s="4">
        <v>3289506</v>
      </c>
      <c r="I1614" s="3">
        <v>0.36385000000000001</v>
      </c>
      <c r="J1614" s="3">
        <v>61.971574516587587</v>
      </c>
      <c r="K1614" s="3">
        <v>70.116056911552505</v>
      </c>
    </row>
    <row r="1615" spans="1:11" x14ac:dyDescent="0.2">
      <c r="A1615" s="2" t="s">
        <v>157</v>
      </c>
      <c r="B1615" s="2" t="s">
        <v>158</v>
      </c>
      <c r="C1615" s="3">
        <v>2007</v>
      </c>
      <c r="D1615" s="3">
        <v>20803.893182055999</v>
      </c>
      <c r="E1615" s="3">
        <v>0.56316488981246904</v>
      </c>
      <c r="F1615" s="2"/>
      <c r="G1615" s="3">
        <v>35</v>
      </c>
      <c r="H1615" s="4">
        <v>3295153</v>
      </c>
      <c r="I1615" s="3">
        <v>0.42159000000000002</v>
      </c>
      <c r="J1615" s="3">
        <v>59.210447837409447</v>
      </c>
      <c r="K1615" s="3">
        <v>70.317069870978685</v>
      </c>
    </row>
    <row r="1616" spans="1:11" x14ac:dyDescent="0.2">
      <c r="A1616" s="2" t="s">
        <v>157</v>
      </c>
      <c r="B1616" s="2" t="s">
        <v>158</v>
      </c>
      <c r="C1616" s="3">
        <v>2008</v>
      </c>
      <c r="D1616" s="3">
        <v>22249.383516553258</v>
      </c>
      <c r="E1616" s="3">
        <v>0.54195672273635898</v>
      </c>
      <c r="F1616" s="2"/>
      <c r="G1616" s="3">
        <v>33</v>
      </c>
      <c r="H1616" s="4">
        <v>3302177</v>
      </c>
      <c r="I1616" s="3">
        <v>0.37441000000000002</v>
      </c>
      <c r="J1616" s="3">
        <v>65.208095007182081</v>
      </c>
      <c r="K1616" s="3">
        <v>70.689547990408286</v>
      </c>
    </row>
    <row r="1617" spans="1:11" x14ac:dyDescent="0.2">
      <c r="A1617" s="2" t="s">
        <v>157</v>
      </c>
      <c r="B1617" s="2" t="s">
        <v>158</v>
      </c>
      <c r="C1617" s="3">
        <v>2009</v>
      </c>
      <c r="D1617" s="3">
        <v>23138.082068701438</v>
      </c>
      <c r="E1617" s="3">
        <v>0.624378561973572</v>
      </c>
      <c r="F1617" s="2"/>
      <c r="G1617" s="3">
        <v>30</v>
      </c>
      <c r="H1617" s="4">
        <v>3310091</v>
      </c>
      <c r="I1617" s="3">
        <v>0.40239000000000003</v>
      </c>
      <c r="J1617" s="3">
        <v>53.394419268373568</v>
      </c>
      <c r="K1617" s="3">
        <v>70.894851315677784</v>
      </c>
    </row>
    <row r="1618" spans="1:11" x14ac:dyDescent="0.2">
      <c r="A1618" s="2" t="s">
        <v>157</v>
      </c>
      <c r="B1618" s="2" t="s">
        <v>158</v>
      </c>
      <c r="C1618" s="3">
        <v>2010</v>
      </c>
      <c r="D1618" s="3">
        <v>24879.835019261809</v>
      </c>
      <c r="E1618" s="3">
        <v>0.63333219289779696</v>
      </c>
      <c r="F1618" s="2"/>
      <c r="G1618" s="3">
        <v>23</v>
      </c>
      <c r="H1618" s="4">
        <v>3318580</v>
      </c>
      <c r="I1618" s="3">
        <v>0.32882</v>
      </c>
      <c r="J1618" s="3">
        <v>51.699037201225607</v>
      </c>
      <c r="K1618" s="3">
        <v>72.472375545369673</v>
      </c>
    </row>
    <row r="1619" spans="1:11" x14ac:dyDescent="0.2">
      <c r="A1619" s="2" t="s">
        <v>157</v>
      </c>
      <c r="B1619" s="2" t="s">
        <v>158</v>
      </c>
      <c r="C1619" s="3">
        <v>2011</v>
      </c>
      <c r="D1619" s="3">
        <v>26099.32152938026</v>
      </c>
      <c r="E1619" s="3">
        <v>0.53962391614913896</v>
      </c>
      <c r="F1619" s="3">
        <v>4.1493701934814498</v>
      </c>
      <c r="G1619" s="3">
        <v>20</v>
      </c>
      <c r="H1619" s="4">
        <v>3326825</v>
      </c>
      <c r="I1619" s="3">
        <v>0.32962000000000002</v>
      </c>
      <c r="J1619" s="3">
        <v>53.247034010901849</v>
      </c>
      <c r="K1619" s="3">
        <v>73.070284716917087</v>
      </c>
    </row>
    <row r="1620" spans="1:11" x14ac:dyDescent="0.2">
      <c r="A1620" s="2" t="s">
        <v>157</v>
      </c>
      <c r="B1620" s="2" t="s">
        <v>158</v>
      </c>
      <c r="C1620" s="3">
        <v>2012</v>
      </c>
      <c r="D1620" s="3">
        <v>26953.28110653839</v>
      </c>
      <c r="E1620" s="3">
        <v>0.41585850715637201</v>
      </c>
      <c r="F1620" s="3">
        <v>4.0935333828324199</v>
      </c>
      <c r="G1620" s="3">
        <v>22</v>
      </c>
      <c r="H1620" s="4">
        <v>3335401</v>
      </c>
      <c r="I1620" s="3">
        <v>0.30808000000000002</v>
      </c>
      <c r="J1620" s="3">
        <v>55.061154163376777</v>
      </c>
      <c r="K1620" s="3">
        <v>73.851524728376205</v>
      </c>
    </row>
    <row r="1621" spans="1:11" x14ac:dyDescent="0.2">
      <c r="A1621" s="2" t="s">
        <v>157</v>
      </c>
      <c r="B1621" s="2" t="s">
        <v>158</v>
      </c>
      <c r="C1621" s="3">
        <v>2013</v>
      </c>
      <c r="D1621" s="3">
        <v>28119.483334140361</v>
      </c>
      <c r="E1621" s="3">
        <v>0.39732158184051503</v>
      </c>
      <c r="F1621" s="3">
        <v>4.2389202117919904</v>
      </c>
      <c r="G1621" s="2"/>
      <c r="H1621" s="4">
        <v>3345337</v>
      </c>
      <c r="I1621" s="3">
        <v>0.29117999999999999</v>
      </c>
      <c r="J1621" s="3">
        <v>49.717846474623251</v>
      </c>
      <c r="K1621" s="3">
        <v>73.982429046770235</v>
      </c>
    </row>
    <row r="1622" spans="1:11" x14ac:dyDescent="0.2">
      <c r="A1622" s="2" t="s">
        <v>157</v>
      </c>
      <c r="B1622" s="2" t="s">
        <v>158</v>
      </c>
      <c r="C1622" s="3">
        <v>2014</v>
      </c>
      <c r="D1622" s="3">
        <v>28935.0974409271</v>
      </c>
      <c r="E1622" s="3">
        <v>0.43504112958908098</v>
      </c>
      <c r="F1622" s="3">
        <v>4.2673501968383798</v>
      </c>
      <c r="G1622" s="3">
        <v>37</v>
      </c>
      <c r="H1622" s="4">
        <v>3356334</v>
      </c>
      <c r="I1622" s="3">
        <v>0.31707000000000002</v>
      </c>
      <c r="J1622" s="3">
        <v>49.087624063217397</v>
      </c>
      <c r="K1622" s="3">
        <v>75.02318354129531</v>
      </c>
    </row>
    <row r="1623" spans="1:11" x14ac:dyDescent="0.2">
      <c r="A1623" s="2" t="s">
        <v>157</v>
      </c>
      <c r="B1623" s="2" t="s">
        <v>158</v>
      </c>
      <c r="C1623" s="3">
        <v>2015</v>
      </c>
      <c r="D1623" s="3">
        <v>28941.629410701109</v>
      </c>
      <c r="E1623" s="3">
        <v>0.45468613505363498</v>
      </c>
      <c r="F1623" s="3">
        <v>4.2063698768615696</v>
      </c>
      <c r="G1623" s="3">
        <v>26</v>
      </c>
      <c r="H1623" s="4">
        <v>3368017</v>
      </c>
      <c r="I1623" s="3">
        <v>0.35109000000000001</v>
      </c>
      <c r="J1623" s="3">
        <v>45.328240808753392</v>
      </c>
      <c r="K1623" s="3">
        <v>75.550441021560147</v>
      </c>
    </row>
    <row r="1624" spans="1:11" x14ac:dyDescent="0.2">
      <c r="A1624" s="2" t="s">
        <v>157</v>
      </c>
      <c r="B1624" s="2" t="s">
        <v>158</v>
      </c>
      <c r="C1624" s="3">
        <v>2016</v>
      </c>
      <c r="D1624" s="3">
        <v>29332.56726152464</v>
      </c>
      <c r="E1624" s="3">
        <v>0.50496721267700195</v>
      </c>
      <c r="F1624" s="3">
        <v>4.3642001152038601</v>
      </c>
      <c r="G1624" s="2"/>
      <c r="H1624" s="4">
        <v>3379283</v>
      </c>
      <c r="I1624" s="3">
        <v>0.37391000000000002</v>
      </c>
      <c r="J1624" s="3">
        <v>48.470558378562323</v>
      </c>
      <c r="K1624" s="3">
        <v>76.276424853577808</v>
      </c>
    </row>
    <row r="1625" spans="1:11" x14ac:dyDescent="0.2">
      <c r="A1625" s="2" t="s">
        <v>157</v>
      </c>
      <c r="B1625" s="2" t="s">
        <v>158</v>
      </c>
      <c r="C1625" s="3">
        <v>2017</v>
      </c>
      <c r="D1625" s="3">
        <v>29762.433317168521</v>
      </c>
      <c r="E1625" s="3">
        <v>0.404940634965897</v>
      </c>
      <c r="F1625" s="3">
        <v>4.4178700447082502</v>
      </c>
      <c r="G1625" s="3">
        <v>23</v>
      </c>
      <c r="H1625" s="4">
        <v>3388438</v>
      </c>
      <c r="I1625" s="3">
        <v>0.44052000000000002</v>
      </c>
      <c r="J1625" s="3">
        <v>46.378004203551463</v>
      </c>
      <c r="K1625" s="3">
        <v>76.444102627111462</v>
      </c>
    </row>
    <row r="1626" spans="1:11" x14ac:dyDescent="0.2">
      <c r="A1626" s="2" t="s">
        <v>157</v>
      </c>
      <c r="B1626" s="2" t="s">
        <v>158</v>
      </c>
      <c r="C1626" s="3">
        <v>2018</v>
      </c>
      <c r="D1626" s="3">
        <v>29757.93885437827</v>
      </c>
      <c r="E1626" s="3">
        <v>0.50486487150192305</v>
      </c>
      <c r="F1626" s="3">
        <v>4.6036100387573198</v>
      </c>
      <c r="G1626" s="2"/>
      <c r="H1626" s="4">
        <v>3394534</v>
      </c>
      <c r="I1626" s="3">
        <v>0.50483999999999996</v>
      </c>
      <c r="J1626" s="3">
        <v>47.791310480647539</v>
      </c>
      <c r="K1626" s="3">
        <v>76.373779087089389</v>
      </c>
    </row>
    <row r="1627" spans="1:11" x14ac:dyDescent="0.2">
      <c r="A1627" s="2" t="s">
        <v>157</v>
      </c>
      <c r="B1627" s="2" t="s">
        <v>158</v>
      </c>
      <c r="C1627" s="3">
        <v>2019</v>
      </c>
      <c r="D1627" s="3">
        <v>30010.574261579721</v>
      </c>
      <c r="E1627" s="3">
        <v>0.64302086830139205</v>
      </c>
      <c r="F1627" s="3">
        <v>4.6283397674560502</v>
      </c>
      <c r="G1627" s="2"/>
      <c r="H1627" s="4">
        <v>3397206</v>
      </c>
      <c r="I1627" s="3">
        <v>0.56805000000000005</v>
      </c>
      <c r="J1627" s="3">
        <v>49.744834115963613</v>
      </c>
      <c r="K1627" s="3">
        <v>77.102274155419749</v>
      </c>
    </row>
    <row r="1628" spans="1:11" x14ac:dyDescent="0.2">
      <c r="A1628" s="2" t="s">
        <v>157</v>
      </c>
      <c r="B1628" s="2" t="s">
        <v>158</v>
      </c>
      <c r="C1628" s="3">
        <v>2020</v>
      </c>
      <c r="D1628" s="3">
        <v>27788.185496815309</v>
      </c>
      <c r="E1628" s="3">
        <v>0.73021095991134599</v>
      </c>
      <c r="F1628" s="3">
        <v>4.5429201126098597</v>
      </c>
      <c r="G1628" s="2"/>
      <c r="H1628" s="4">
        <v>3398968</v>
      </c>
      <c r="I1628" s="3">
        <v>0.67467999999999995</v>
      </c>
      <c r="J1628" s="3">
        <v>47.731873318208777</v>
      </c>
      <c r="K1628" s="3">
        <v>77.371227287581689</v>
      </c>
    </row>
    <row r="1629" spans="1:11" x14ac:dyDescent="0.2">
      <c r="A1629" s="2" t="s">
        <v>157</v>
      </c>
      <c r="B1629" s="2" t="s">
        <v>158</v>
      </c>
      <c r="C1629" s="3">
        <v>2021</v>
      </c>
      <c r="D1629" s="3">
        <v>29431.885008747071</v>
      </c>
      <c r="E1629" s="3">
        <v>0.79966223239898704</v>
      </c>
      <c r="F1629" s="3">
        <v>4.4606599807739302</v>
      </c>
      <c r="G1629" s="2"/>
      <c r="H1629" s="4">
        <v>3396695</v>
      </c>
      <c r="I1629" s="3">
        <v>0.61446999999999996</v>
      </c>
      <c r="J1629" s="3">
        <v>58.315041023033757</v>
      </c>
      <c r="K1629" s="3">
        <v>77.02047282064342</v>
      </c>
    </row>
    <row r="1630" spans="1:11" x14ac:dyDescent="0.2">
      <c r="A1630" s="2" t="s">
        <v>159</v>
      </c>
      <c r="B1630" s="2" t="s">
        <v>160</v>
      </c>
      <c r="C1630" s="3">
        <v>2000</v>
      </c>
      <c r="D1630" s="3">
        <v>3410.6504499189768</v>
      </c>
      <c r="E1630" s="3">
        <v>-1.0199832916259799</v>
      </c>
      <c r="F1630" s="2"/>
      <c r="G1630" s="3">
        <v>755</v>
      </c>
      <c r="H1630" s="4">
        <v>24787054</v>
      </c>
      <c r="I1630" s="3">
        <v>0.36063000000000001</v>
      </c>
      <c r="J1630" s="3">
        <v>44.054029979112912</v>
      </c>
      <c r="K1630" s="3">
        <v>59.676192931547611</v>
      </c>
    </row>
    <row r="1631" spans="1:11" x14ac:dyDescent="0.2">
      <c r="A1631" s="2" t="s">
        <v>159</v>
      </c>
      <c r="B1631" s="2" t="s">
        <v>160</v>
      </c>
      <c r="C1631" s="3">
        <v>2001</v>
      </c>
      <c r="D1631" s="3">
        <v>3509.728637616935</v>
      </c>
      <c r="E1631" s="2"/>
      <c r="F1631" s="2"/>
      <c r="G1631" s="3">
        <v>803</v>
      </c>
      <c r="H1631" s="4">
        <v>25090283</v>
      </c>
      <c r="I1631" s="3">
        <v>0.34544000000000002</v>
      </c>
      <c r="J1631" s="3">
        <v>56.776277587152038</v>
      </c>
      <c r="K1631" s="3">
        <v>60.036810466269841</v>
      </c>
    </row>
    <row r="1632" spans="1:11" x14ac:dyDescent="0.2">
      <c r="A1632" s="2" t="s">
        <v>159</v>
      </c>
      <c r="B1632" s="2" t="s">
        <v>160</v>
      </c>
      <c r="C1632" s="3">
        <v>2002</v>
      </c>
      <c r="D1632" s="3">
        <v>3604.6934620251409</v>
      </c>
      <c r="E1632" s="3">
        <v>-1.2083934545517001</v>
      </c>
      <c r="F1632" s="2"/>
      <c r="G1632" s="3">
        <v>715</v>
      </c>
      <c r="H1632" s="4">
        <v>25399980</v>
      </c>
      <c r="I1632" s="3">
        <v>0.29355999999999999</v>
      </c>
      <c r="J1632" s="3">
        <v>58.954524710746028</v>
      </c>
      <c r="K1632" s="3">
        <v>61.065328769841273</v>
      </c>
    </row>
    <row r="1633" spans="1:11" x14ac:dyDescent="0.2">
      <c r="A1633" s="2" t="s">
        <v>159</v>
      </c>
      <c r="B1633" s="2" t="s">
        <v>160</v>
      </c>
      <c r="C1633" s="3">
        <v>2003</v>
      </c>
      <c r="D1633" s="3">
        <v>3711.7785305442249</v>
      </c>
      <c r="E1633" s="3">
        <v>-1.1884113550186199</v>
      </c>
      <c r="F1633" s="2"/>
      <c r="G1633" s="3">
        <v>931</v>
      </c>
      <c r="H1633" s="4">
        <v>25711259</v>
      </c>
      <c r="I1633" s="3">
        <v>0.26824999999999999</v>
      </c>
      <c r="J1633" s="3">
        <v>70.459274685087365</v>
      </c>
      <c r="K1633" s="3">
        <v>60.597846081349218</v>
      </c>
    </row>
    <row r="1634" spans="1:11" x14ac:dyDescent="0.2">
      <c r="A1634" s="2" t="s">
        <v>159</v>
      </c>
      <c r="B1634" s="2" t="s">
        <v>160</v>
      </c>
      <c r="C1634" s="3">
        <v>2004</v>
      </c>
      <c r="D1634" s="3">
        <v>3939.530398148765</v>
      </c>
      <c r="E1634" s="3">
        <v>-1.20203280448914</v>
      </c>
      <c r="F1634" s="2"/>
      <c r="G1634" s="3">
        <v>273</v>
      </c>
      <c r="H1634" s="4">
        <v>26029350</v>
      </c>
      <c r="I1634" s="3">
        <v>0.27040999999999998</v>
      </c>
      <c r="J1634" s="3">
        <v>76.595669195008568</v>
      </c>
      <c r="K1634" s="3">
        <v>60.857176562500008</v>
      </c>
    </row>
    <row r="1635" spans="1:11" x14ac:dyDescent="0.2">
      <c r="A1635" s="2" t="s">
        <v>159</v>
      </c>
      <c r="B1635" s="2" t="s">
        <v>160</v>
      </c>
      <c r="C1635" s="3">
        <v>2005</v>
      </c>
      <c r="D1635" s="3">
        <v>4160.9551297070338</v>
      </c>
      <c r="E1635" s="3">
        <v>-1.2245956659317001</v>
      </c>
      <c r="F1635" s="2"/>
      <c r="G1635" s="3">
        <v>264</v>
      </c>
      <c r="H1635" s="4">
        <v>26356975</v>
      </c>
      <c r="I1635" s="3">
        <v>0.23741000000000001</v>
      </c>
      <c r="J1635" s="3">
        <v>69.525258424708298</v>
      </c>
      <c r="K1635" s="3">
        <v>61.768514037698417</v>
      </c>
    </row>
    <row r="1636" spans="1:11" x14ac:dyDescent="0.2">
      <c r="A1636" s="2" t="s">
        <v>159</v>
      </c>
      <c r="B1636" s="2" t="s">
        <v>160</v>
      </c>
      <c r="C1636" s="3">
        <v>2006</v>
      </c>
      <c r="D1636" s="3">
        <v>4413.7228122726583</v>
      </c>
      <c r="E1636" s="3">
        <v>-1.1859321594238299</v>
      </c>
      <c r="F1636" s="2"/>
      <c r="G1636" s="3">
        <v>323</v>
      </c>
      <c r="H1636" s="4">
        <v>26699043</v>
      </c>
      <c r="I1636" s="3">
        <v>0.22395000000000001</v>
      </c>
      <c r="J1636" s="3">
        <v>67.471292171797259</v>
      </c>
      <c r="K1636" s="3">
        <v>62.469549528769839</v>
      </c>
    </row>
    <row r="1637" spans="1:11" x14ac:dyDescent="0.2">
      <c r="A1637" s="2" t="s">
        <v>159</v>
      </c>
      <c r="B1637" s="2" t="s">
        <v>160</v>
      </c>
      <c r="C1637" s="3">
        <v>2007</v>
      </c>
      <c r="D1637" s="3">
        <v>4764.5639142752934</v>
      </c>
      <c r="E1637" s="3">
        <v>-1.1399731636047401</v>
      </c>
      <c r="F1637" s="2"/>
      <c r="G1637" s="3">
        <v>324</v>
      </c>
      <c r="H1637" s="4">
        <v>27076008</v>
      </c>
      <c r="I1637" s="3">
        <v>0.21720999999999999</v>
      </c>
      <c r="J1637" s="3">
        <v>74.414192976232712</v>
      </c>
      <c r="K1637" s="3">
        <v>62.741874131944449</v>
      </c>
    </row>
    <row r="1638" spans="1:11" x14ac:dyDescent="0.2">
      <c r="A1638" s="2" t="s">
        <v>159</v>
      </c>
      <c r="B1638" s="2" t="s">
        <v>160</v>
      </c>
      <c r="C1638" s="3">
        <v>2008</v>
      </c>
      <c r="D1638" s="3">
        <v>5115.6439146559396</v>
      </c>
      <c r="E1638" s="3">
        <v>-0.89945483207702603</v>
      </c>
      <c r="F1638" s="2"/>
      <c r="G1638" s="3">
        <v>262</v>
      </c>
      <c r="H1638" s="4">
        <v>27494774</v>
      </c>
      <c r="I1638" s="3">
        <v>0.19353999999999999</v>
      </c>
      <c r="J1638" s="3">
        <v>79.747992034857759</v>
      </c>
      <c r="K1638" s="3">
        <v>63.097770461309537</v>
      </c>
    </row>
    <row r="1639" spans="1:11" x14ac:dyDescent="0.2">
      <c r="A1639" s="2" t="s">
        <v>159</v>
      </c>
      <c r="B1639" s="2" t="s">
        <v>160</v>
      </c>
      <c r="C1639" s="3">
        <v>2009</v>
      </c>
      <c r="D1639" s="3">
        <v>5439.5506812384674</v>
      </c>
      <c r="E1639" s="3">
        <v>-0.64713835716247603</v>
      </c>
      <c r="F1639" s="2"/>
      <c r="G1639" s="3">
        <v>238</v>
      </c>
      <c r="H1639" s="4">
        <v>27939328</v>
      </c>
      <c r="I1639" s="3">
        <v>0.20315</v>
      </c>
      <c r="J1639" s="3">
        <v>68.673142199790988</v>
      </c>
      <c r="K1639" s="3">
        <v>63.614830629960323</v>
      </c>
    </row>
    <row r="1640" spans="1:11" x14ac:dyDescent="0.2">
      <c r="A1640" s="2" t="s">
        <v>159</v>
      </c>
      <c r="B1640" s="2" t="s">
        <v>160</v>
      </c>
      <c r="C1640" s="3">
        <v>2010</v>
      </c>
      <c r="D1640" s="3">
        <v>5760.8051195779117</v>
      </c>
      <c r="E1640" s="3">
        <v>-0.73364239931106601</v>
      </c>
      <c r="F1640" s="2"/>
      <c r="G1640" s="3">
        <v>370</v>
      </c>
      <c r="H1640" s="4">
        <v>28385506</v>
      </c>
      <c r="I1640" s="3">
        <v>0.15429999999999999</v>
      </c>
      <c r="J1640" s="3">
        <v>49.268997799448442</v>
      </c>
      <c r="K1640" s="3">
        <v>64.747680208333321</v>
      </c>
    </row>
    <row r="1641" spans="1:11" x14ac:dyDescent="0.2">
      <c r="A1641" s="2" t="s">
        <v>159</v>
      </c>
      <c r="B1641" s="2" t="s">
        <v>160</v>
      </c>
      <c r="C1641" s="3">
        <v>2011</v>
      </c>
      <c r="D1641" s="3">
        <v>6100.2510099828423</v>
      </c>
      <c r="E1641" s="3">
        <v>-0.69839727878570601</v>
      </c>
      <c r="F1641" s="2"/>
      <c r="G1641" s="3">
        <v>282</v>
      </c>
      <c r="H1641" s="4">
        <v>28823196</v>
      </c>
      <c r="I1641" s="3">
        <v>0.14877000000000001</v>
      </c>
      <c r="J1641" s="3">
        <v>49.654288492935081</v>
      </c>
      <c r="K1641" s="3">
        <v>65.494045312499992</v>
      </c>
    </row>
    <row r="1642" spans="1:11" x14ac:dyDescent="0.2">
      <c r="A1642" s="2" t="s">
        <v>159</v>
      </c>
      <c r="B1642" s="2" t="s">
        <v>160</v>
      </c>
      <c r="C1642" s="3">
        <v>2012</v>
      </c>
      <c r="D1642" s="3">
        <v>6435.564672264285</v>
      </c>
      <c r="E1642" s="3">
        <v>-0.92616885900497403</v>
      </c>
      <c r="F1642" s="2"/>
      <c r="G1642" s="3">
        <v>257</v>
      </c>
      <c r="H1642" s="4">
        <v>29261903</v>
      </c>
      <c r="I1642" s="3">
        <v>0.15512000000000001</v>
      </c>
      <c r="J1642" s="3">
        <v>44.23931913332035</v>
      </c>
      <c r="K1642" s="3">
        <v>66.162527430555556</v>
      </c>
    </row>
    <row r="1643" spans="1:11" x14ac:dyDescent="0.2">
      <c r="A1643" s="2" t="s">
        <v>159</v>
      </c>
      <c r="B1643" s="2" t="s">
        <v>160</v>
      </c>
      <c r="C1643" s="3">
        <v>2013</v>
      </c>
      <c r="D1643" s="3">
        <v>6797.7749478449377</v>
      </c>
      <c r="E1643" s="3">
        <v>-0.93116635084152199</v>
      </c>
      <c r="F1643" s="3">
        <v>5.7419099807739302</v>
      </c>
      <c r="G1643" s="3">
        <v>299</v>
      </c>
      <c r="H1643" s="4">
        <v>29724065</v>
      </c>
      <c r="I1643" s="3">
        <v>0.155</v>
      </c>
      <c r="J1643" s="3">
        <v>42.377914972735873</v>
      </c>
      <c r="K1643" s="3">
        <v>66.45952450396824</v>
      </c>
    </row>
    <row r="1644" spans="1:11" x14ac:dyDescent="0.2">
      <c r="A1644" s="2" t="s">
        <v>159</v>
      </c>
      <c r="B1644" s="2" t="s">
        <v>160</v>
      </c>
      <c r="C1644" s="3">
        <v>2014</v>
      </c>
      <c r="D1644" s="3">
        <v>7145.1098066415116</v>
      </c>
      <c r="E1644" s="3">
        <v>-0.63755977153778098</v>
      </c>
      <c r="F1644" s="3">
        <v>5.7132301330566397</v>
      </c>
      <c r="G1644" s="3">
        <v>345</v>
      </c>
      <c r="H1644" s="4">
        <v>30222994</v>
      </c>
      <c r="I1644" s="3">
        <v>0.15334999999999999</v>
      </c>
      <c r="J1644" s="3">
        <v>36.357054664904339</v>
      </c>
      <c r="K1644" s="3">
        <v>67.730550446428552</v>
      </c>
    </row>
    <row r="1645" spans="1:11" x14ac:dyDescent="0.2">
      <c r="A1645" s="2" t="s">
        <v>159</v>
      </c>
      <c r="B1645" s="2" t="s">
        <v>160</v>
      </c>
      <c r="C1645" s="3">
        <v>2015</v>
      </c>
      <c r="D1645" s="3">
        <v>7529.7636427417883</v>
      </c>
      <c r="E1645" s="3">
        <v>-0.75294834375381503</v>
      </c>
      <c r="F1645" s="3">
        <v>5.4944400787353498</v>
      </c>
      <c r="G1645" s="3">
        <v>288</v>
      </c>
      <c r="H1645" s="4">
        <v>30749346</v>
      </c>
      <c r="I1645" s="3">
        <v>0.16497000000000001</v>
      </c>
      <c r="J1645" s="3">
        <v>30.756191430708931</v>
      </c>
      <c r="K1645" s="3">
        <v>68.329742931547614</v>
      </c>
    </row>
    <row r="1646" spans="1:11" x14ac:dyDescent="0.2">
      <c r="A1646" s="2" t="s">
        <v>159</v>
      </c>
      <c r="B1646" s="2" t="s">
        <v>160</v>
      </c>
      <c r="C1646" s="3">
        <v>2016</v>
      </c>
      <c r="D1646" s="3">
        <v>7839.9782010023637</v>
      </c>
      <c r="E1646" s="3">
        <v>-0.66151791810989402</v>
      </c>
      <c r="F1646" s="3">
        <v>5.3808999061584499</v>
      </c>
      <c r="G1646" s="3">
        <v>353</v>
      </c>
      <c r="H1646" s="4">
        <v>31284568</v>
      </c>
      <c r="I1646" s="3">
        <v>0.17238000000000001</v>
      </c>
      <c r="J1646" s="3">
        <v>29.19229703880422</v>
      </c>
      <c r="K1646" s="3">
        <v>68.747675446428573</v>
      </c>
    </row>
    <row r="1647" spans="1:11" x14ac:dyDescent="0.2">
      <c r="A1647" s="2" t="s">
        <v>159</v>
      </c>
      <c r="B1647" s="2" t="s">
        <v>160</v>
      </c>
      <c r="C1647" s="3">
        <v>2017</v>
      </c>
      <c r="D1647" s="3">
        <v>8047.053754694658</v>
      </c>
      <c r="E1647" s="3">
        <v>-0.63024741411209095</v>
      </c>
      <c r="F1647" s="3">
        <v>4.4824900627136204</v>
      </c>
      <c r="G1647" s="3">
        <v>357</v>
      </c>
      <c r="H1647" s="4">
        <v>31819178</v>
      </c>
      <c r="I1647" s="3">
        <v>0.14834</v>
      </c>
      <c r="J1647" s="3">
        <v>42.559508189521658</v>
      </c>
      <c r="K1647" s="3">
        <v>68.7760775545635</v>
      </c>
    </row>
    <row r="1648" spans="1:11" x14ac:dyDescent="0.2">
      <c r="A1648" s="2" t="s">
        <v>159</v>
      </c>
      <c r="B1648" s="2" t="s">
        <v>160</v>
      </c>
      <c r="C1648" s="3">
        <v>2018</v>
      </c>
      <c r="D1648" s="3">
        <v>8348.9605787312739</v>
      </c>
      <c r="E1648" s="3">
        <v>-0.61695796251296997</v>
      </c>
      <c r="F1648" s="3">
        <v>4.83589298172277</v>
      </c>
      <c r="G1648" s="3">
        <v>470</v>
      </c>
      <c r="H1648" s="4">
        <v>32373490</v>
      </c>
      <c r="I1648" s="3">
        <v>0.12393999999999999</v>
      </c>
      <c r="J1648" s="3">
        <v>64.138139498577274</v>
      </c>
      <c r="K1648" s="3">
        <v>68.940575818452388</v>
      </c>
    </row>
    <row r="1649" spans="1:11" x14ac:dyDescent="0.2">
      <c r="A1649" s="2" t="s">
        <v>159</v>
      </c>
      <c r="B1649" s="2" t="s">
        <v>160</v>
      </c>
      <c r="C1649" s="3">
        <v>2019</v>
      </c>
      <c r="D1649" s="3">
        <v>8755.1259398494894</v>
      </c>
      <c r="E1649" s="3">
        <v>-0.60009747743606601</v>
      </c>
      <c r="F1649" s="3">
        <v>6.2953467854721596</v>
      </c>
      <c r="G1649" s="3">
        <v>374</v>
      </c>
      <c r="H1649" s="4">
        <v>32964701</v>
      </c>
      <c r="I1649" s="3">
        <v>0.11305999999999999</v>
      </c>
      <c r="J1649" s="3">
        <v>64.963922763240717</v>
      </c>
      <c r="K1649" s="3">
        <v>70.036350049603158</v>
      </c>
    </row>
    <row r="1650" spans="1:11" x14ac:dyDescent="0.2">
      <c r="A1650" s="2" t="s">
        <v>159</v>
      </c>
      <c r="B1650" s="2" t="s">
        <v>160</v>
      </c>
      <c r="C1650" s="3">
        <v>2020</v>
      </c>
      <c r="D1650" s="3">
        <v>8727.411049392229</v>
      </c>
      <c r="E1650" s="3">
        <v>-0.615506291389465</v>
      </c>
      <c r="F1650" s="3">
        <v>4.4402198791503897</v>
      </c>
      <c r="G1650" s="3">
        <v>356</v>
      </c>
      <c r="H1650" s="4">
        <v>33586372</v>
      </c>
      <c r="I1650" s="3">
        <v>0.13850000000000001</v>
      </c>
      <c r="J1650" s="3">
        <v>56.051530834997124</v>
      </c>
      <c r="K1650" s="3">
        <v>71.350182886904761</v>
      </c>
    </row>
    <row r="1651" spans="1:11" x14ac:dyDescent="0.2">
      <c r="A1651" s="2" t="s">
        <v>159</v>
      </c>
      <c r="B1651" s="2" t="s">
        <v>160</v>
      </c>
      <c r="C1651" s="3">
        <v>2021</v>
      </c>
      <c r="D1651" s="3">
        <v>9247.6438270392937</v>
      </c>
      <c r="E1651" s="3">
        <v>-0.26464053988456698</v>
      </c>
      <c r="F1651" s="3">
        <v>4.1358098983764604</v>
      </c>
      <c r="G1651" s="3">
        <v>413</v>
      </c>
      <c r="H1651" s="4">
        <v>34243696</v>
      </c>
      <c r="I1651" s="3">
        <v>0.13159999999999999</v>
      </c>
      <c r="J1651" s="3">
        <v>57.458971697322163</v>
      </c>
      <c r="K1651" s="3">
        <v>71.997580481150791</v>
      </c>
    </row>
    <row r="1652" spans="1:11" x14ac:dyDescent="0.2">
      <c r="A1652" s="2" t="s">
        <v>161</v>
      </c>
      <c r="B1652" s="2" t="s">
        <v>162</v>
      </c>
      <c r="C1652" s="3">
        <v>2000</v>
      </c>
      <c r="D1652" s="3">
        <v>2220.5653712714038</v>
      </c>
      <c r="E1652" s="3">
        <v>-1.0787644386291499</v>
      </c>
      <c r="F1652" s="3">
        <v>1.7881900072097801</v>
      </c>
      <c r="G1652" s="2"/>
      <c r="H1652" s="4">
        <v>10017631</v>
      </c>
      <c r="I1652" s="2"/>
      <c r="J1652" s="3">
        <v>60.387468988496472</v>
      </c>
      <c r="K1652" s="3">
        <v>46.637741100739547</v>
      </c>
    </row>
    <row r="1653" spans="1:11" x14ac:dyDescent="0.2">
      <c r="A1653" s="2" t="s">
        <v>161</v>
      </c>
      <c r="B1653" s="2" t="s">
        <v>162</v>
      </c>
      <c r="C1653" s="3">
        <v>2001</v>
      </c>
      <c r="D1653" s="3">
        <v>2268.969655645968</v>
      </c>
      <c r="E1653" s="2"/>
      <c r="F1653" s="2"/>
      <c r="G1653" s="3">
        <v>6</v>
      </c>
      <c r="H1653" s="4">
        <v>10325185</v>
      </c>
      <c r="I1653" s="2"/>
      <c r="J1653" s="3">
        <v>64.668282708978992</v>
      </c>
      <c r="K1653" s="3">
        <v>46.71308152732685</v>
      </c>
    </row>
    <row r="1654" spans="1:11" x14ac:dyDescent="0.2">
      <c r="A1654" s="2" t="s">
        <v>161</v>
      </c>
      <c r="B1654" s="2" t="s">
        <v>162</v>
      </c>
      <c r="C1654" s="3">
        <v>2002</v>
      </c>
      <c r="D1654" s="3">
        <v>2299.332891881143</v>
      </c>
      <c r="E1654" s="3">
        <v>-0.92490303516387895</v>
      </c>
      <c r="F1654" s="2"/>
      <c r="G1654" s="3">
        <v>3</v>
      </c>
      <c r="H1654" s="4">
        <v>10647949</v>
      </c>
      <c r="I1654" s="3">
        <v>5.4400000000000004E-3</v>
      </c>
      <c r="J1654" s="3">
        <v>64.916496999064819</v>
      </c>
      <c r="K1654" s="3">
        <v>47.181492514430019</v>
      </c>
    </row>
    <row r="1655" spans="1:11" x14ac:dyDescent="0.2">
      <c r="A1655" s="2" t="s">
        <v>161</v>
      </c>
      <c r="B1655" s="2" t="s">
        <v>162</v>
      </c>
      <c r="C1655" s="3">
        <v>2003</v>
      </c>
      <c r="D1655" s="3">
        <v>2383.876117410889</v>
      </c>
      <c r="E1655" s="3">
        <v>-1.0084813833236701</v>
      </c>
      <c r="F1655" s="2"/>
      <c r="G1655" s="3">
        <v>3</v>
      </c>
      <c r="H1655" s="4">
        <v>10983595</v>
      </c>
      <c r="I1655" s="3">
        <v>8.4700000000000001E-3</v>
      </c>
      <c r="J1655" s="3">
        <v>62.312844675762882</v>
      </c>
      <c r="K1655" s="3">
        <v>47.24986389339827</v>
      </c>
    </row>
    <row r="1656" spans="1:11" x14ac:dyDescent="0.2">
      <c r="A1656" s="2" t="s">
        <v>161</v>
      </c>
      <c r="B1656" s="2" t="s">
        <v>162</v>
      </c>
      <c r="C1656" s="3">
        <v>2004</v>
      </c>
      <c r="D1656" s="3">
        <v>2471.720733286847</v>
      </c>
      <c r="E1656" s="3">
        <v>-0.93125271797180198</v>
      </c>
      <c r="F1656" s="3">
        <v>2.46342992782593</v>
      </c>
      <c r="G1656" s="3">
        <v>1</v>
      </c>
      <c r="H1656" s="4">
        <v>11338198</v>
      </c>
      <c r="I1656" s="3">
        <v>2.223E-2</v>
      </c>
      <c r="J1656" s="3">
        <v>70.813074931772164</v>
      </c>
      <c r="K1656" s="3">
        <v>46.055480733676049</v>
      </c>
    </row>
    <row r="1657" spans="1:11" x14ac:dyDescent="0.2">
      <c r="A1657" s="2" t="s">
        <v>161</v>
      </c>
      <c r="B1657" s="2" t="s">
        <v>162</v>
      </c>
      <c r="C1657" s="3">
        <v>2005</v>
      </c>
      <c r="D1657" s="3">
        <v>2564.4756096591168</v>
      </c>
      <c r="E1657" s="3">
        <v>-0.93688344955444303</v>
      </c>
      <c r="F1657" s="3">
        <v>1.73553001880646</v>
      </c>
      <c r="G1657" s="3">
        <v>5</v>
      </c>
      <c r="H1657" s="4">
        <v>11718819</v>
      </c>
      <c r="I1657" s="3">
        <v>2.4930000000000001E-2</v>
      </c>
      <c r="J1657" s="3">
        <v>62.200282191364032</v>
      </c>
      <c r="K1657" s="3">
        <v>46.625193283279224</v>
      </c>
    </row>
    <row r="1658" spans="1:11" x14ac:dyDescent="0.2">
      <c r="A1658" s="2" t="s">
        <v>161</v>
      </c>
      <c r="B1658" s="2" t="s">
        <v>162</v>
      </c>
      <c r="C1658" s="3">
        <v>2006</v>
      </c>
      <c r="D1658" s="3">
        <v>2673.4615192852848</v>
      </c>
      <c r="E1658" s="3">
        <v>-0.87759888172149703</v>
      </c>
      <c r="F1658" s="2"/>
      <c r="G1658" s="3">
        <v>4</v>
      </c>
      <c r="H1658" s="4">
        <v>12129553</v>
      </c>
      <c r="I1658" s="2"/>
      <c r="J1658" s="3">
        <v>57.856818873902668</v>
      </c>
      <c r="K1658" s="3">
        <v>46.868241348755411</v>
      </c>
    </row>
    <row r="1659" spans="1:11" x14ac:dyDescent="0.2">
      <c r="A1659" s="2" t="s">
        <v>161</v>
      </c>
      <c r="B1659" s="2" t="s">
        <v>162</v>
      </c>
      <c r="C1659" s="3">
        <v>2007</v>
      </c>
      <c r="D1659" s="3">
        <v>2796.352933218403</v>
      </c>
      <c r="E1659" s="3">
        <v>-0.74683368206024203</v>
      </c>
      <c r="F1659" s="3">
        <v>1.2407599687576301</v>
      </c>
      <c r="G1659" s="3">
        <v>19</v>
      </c>
      <c r="H1659" s="4">
        <v>12565085</v>
      </c>
      <c r="I1659" s="2"/>
      <c r="J1659" s="3">
        <v>65.771458690906783</v>
      </c>
      <c r="K1659" s="3">
        <v>47.186435644390343</v>
      </c>
    </row>
    <row r="1660" spans="1:11" x14ac:dyDescent="0.2">
      <c r="A1660" s="2" t="s">
        <v>161</v>
      </c>
      <c r="B1660" s="2" t="s">
        <v>162</v>
      </c>
      <c r="C1660" s="3">
        <v>2008</v>
      </c>
      <c r="D1660" s="3">
        <v>2908.1436251066812</v>
      </c>
      <c r="E1660" s="3">
        <v>-0.76138663291931197</v>
      </c>
      <c r="F1660" s="3">
        <v>1.0997200012207</v>
      </c>
      <c r="G1660" s="3">
        <v>26</v>
      </c>
      <c r="H1660" s="4">
        <v>13021324</v>
      </c>
      <c r="I1660" s="3">
        <v>0.27818999999999999</v>
      </c>
      <c r="J1660" s="3">
        <v>59.454889120587438</v>
      </c>
      <c r="K1660" s="3">
        <v>47.948251174693361</v>
      </c>
    </row>
    <row r="1661" spans="1:11" x14ac:dyDescent="0.2">
      <c r="A1661" s="2" t="s">
        <v>161</v>
      </c>
      <c r="B1661" s="2" t="s">
        <v>162</v>
      </c>
      <c r="C1661" s="3">
        <v>2009</v>
      </c>
      <c r="D1661" s="3">
        <v>3065.8442010899748</v>
      </c>
      <c r="E1661" s="3">
        <v>-0.81895786523819003</v>
      </c>
      <c r="F1661" s="2"/>
      <c r="G1661" s="3">
        <v>9</v>
      </c>
      <c r="H1661" s="4">
        <v>13490389</v>
      </c>
      <c r="I1661" s="2"/>
      <c r="J1661" s="3">
        <v>56.121380955516493</v>
      </c>
      <c r="K1661" s="3">
        <v>47.947769176136362</v>
      </c>
    </row>
    <row r="1662" spans="1:11" x14ac:dyDescent="0.2">
      <c r="A1662" s="2" t="s">
        <v>161</v>
      </c>
      <c r="B1662" s="2" t="s">
        <v>162</v>
      </c>
      <c r="C1662" s="3">
        <v>2010</v>
      </c>
      <c r="D1662" s="3">
        <v>3266.5074929382849</v>
      </c>
      <c r="E1662" s="3">
        <v>-0.86207026243209794</v>
      </c>
      <c r="F1662" s="3">
        <v>3.4160044539373899</v>
      </c>
      <c r="G1662" s="3">
        <v>5</v>
      </c>
      <c r="H1662" s="4">
        <v>13965594</v>
      </c>
      <c r="I1662" s="2"/>
      <c r="J1662" s="3">
        <v>65.014702520612175</v>
      </c>
      <c r="K1662" s="3">
        <v>49.050267063492058</v>
      </c>
    </row>
    <row r="1663" spans="1:11" x14ac:dyDescent="0.2">
      <c r="A1663" s="2" t="s">
        <v>161</v>
      </c>
      <c r="B1663" s="2" t="s">
        <v>162</v>
      </c>
      <c r="C1663" s="3">
        <v>2011</v>
      </c>
      <c r="D1663" s="3">
        <v>3335.6433950065698</v>
      </c>
      <c r="E1663" s="3">
        <v>-0.68256855010986295</v>
      </c>
      <c r="F1663" s="3">
        <v>3.35772272046971</v>
      </c>
      <c r="G1663" s="3">
        <v>3</v>
      </c>
      <c r="H1663" s="4">
        <v>14437796</v>
      </c>
      <c r="I1663" s="2"/>
      <c r="J1663" s="3">
        <v>72.795432438428293</v>
      </c>
      <c r="K1663" s="3">
        <v>49.700545346320339</v>
      </c>
    </row>
    <row r="1664" spans="1:11" x14ac:dyDescent="0.2">
      <c r="A1664" s="2" t="s">
        <v>161</v>
      </c>
      <c r="B1664" s="2" t="s">
        <v>162</v>
      </c>
      <c r="C1664" s="3">
        <v>2012</v>
      </c>
      <c r="D1664" s="3">
        <v>3474.5525284409209</v>
      </c>
      <c r="E1664" s="3">
        <v>-0.50946736335754395</v>
      </c>
      <c r="F1664" s="3">
        <v>3.6950024284290302</v>
      </c>
      <c r="G1664" s="3">
        <v>7</v>
      </c>
      <c r="H1664" s="4">
        <v>14913629</v>
      </c>
      <c r="I1664" s="2"/>
      <c r="J1664" s="3">
        <v>75.367709855907037</v>
      </c>
      <c r="K1664" s="3">
        <v>50.181095188492073</v>
      </c>
    </row>
    <row r="1665" spans="1:11" x14ac:dyDescent="0.2">
      <c r="A1665" s="2" t="s">
        <v>161</v>
      </c>
      <c r="B1665" s="2" t="s">
        <v>162</v>
      </c>
      <c r="C1665" s="3">
        <v>2013</v>
      </c>
      <c r="D1665" s="3">
        <v>3535.2244904314398</v>
      </c>
      <c r="E1665" s="3">
        <v>-0.520099937915802</v>
      </c>
      <c r="F1665" s="3">
        <v>3.71820710892018</v>
      </c>
      <c r="G1665" s="3">
        <v>13</v>
      </c>
      <c r="H1665" s="4">
        <v>15398997</v>
      </c>
      <c r="I1665" s="2"/>
      <c r="J1665" s="3">
        <v>80.456241021337334</v>
      </c>
      <c r="K1665" s="3">
        <v>50.754588715277777</v>
      </c>
    </row>
    <row r="1666" spans="1:11" x14ac:dyDescent="0.2">
      <c r="A1666" s="2" t="s">
        <v>161</v>
      </c>
      <c r="B1666" s="2" t="s">
        <v>162</v>
      </c>
      <c r="C1666" s="3">
        <v>2014</v>
      </c>
      <c r="D1666" s="3">
        <v>3585.5774850713128</v>
      </c>
      <c r="E1666" s="3">
        <v>-0.53400522470474199</v>
      </c>
      <c r="F1666" s="3">
        <v>5.1522570681161097</v>
      </c>
      <c r="G1666" s="3">
        <v>14</v>
      </c>
      <c r="H1666" s="4">
        <v>15895315</v>
      </c>
      <c r="I1666" s="2"/>
      <c r="J1666" s="3">
        <v>76.193499727631348</v>
      </c>
      <c r="K1666" s="3">
        <v>51.577386728896101</v>
      </c>
    </row>
    <row r="1667" spans="1:11" x14ac:dyDescent="0.2">
      <c r="A1667" s="2" t="s">
        <v>161</v>
      </c>
      <c r="B1667" s="2" t="s">
        <v>162</v>
      </c>
      <c r="C1667" s="3">
        <v>2015</v>
      </c>
      <c r="D1667" s="3">
        <v>3576.9254483412501</v>
      </c>
      <c r="E1667" s="3">
        <v>-0.64312434196472201</v>
      </c>
      <c r="F1667" s="3">
        <v>4.6243300437927202</v>
      </c>
      <c r="G1667" s="3">
        <v>20</v>
      </c>
      <c r="H1667" s="4">
        <v>16399089</v>
      </c>
      <c r="I1667" s="2"/>
      <c r="J1667" s="3">
        <v>79.865268757395796</v>
      </c>
      <c r="K1667" s="3">
        <v>51.66283544372294</v>
      </c>
    </row>
    <row r="1668" spans="1:11" x14ac:dyDescent="0.2">
      <c r="A1668" s="2" t="s">
        <v>161</v>
      </c>
      <c r="B1668" s="2" t="s">
        <v>162</v>
      </c>
      <c r="C1668" s="3">
        <v>2016</v>
      </c>
      <c r="D1668" s="3">
        <v>3598.1716602338952</v>
      </c>
      <c r="E1668" s="3">
        <v>-0.73750126361846902</v>
      </c>
      <c r="F1668" s="3">
        <v>3.7479200363159202</v>
      </c>
      <c r="G1668" s="3">
        <v>15</v>
      </c>
      <c r="H1668" s="4">
        <v>16914423</v>
      </c>
      <c r="I1668" s="2"/>
      <c r="J1668" s="3">
        <v>73.958561254615958</v>
      </c>
      <c r="K1668" s="3">
        <v>51.914318373466813</v>
      </c>
    </row>
    <row r="1669" spans="1:11" x14ac:dyDescent="0.2">
      <c r="A1669" s="2" t="s">
        <v>161</v>
      </c>
      <c r="B1669" s="2" t="s">
        <v>162</v>
      </c>
      <c r="C1669" s="3">
        <v>2017</v>
      </c>
      <c r="D1669" s="3">
        <v>3612.5059766459258</v>
      </c>
      <c r="E1669" s="3">
        <v>-0.70034521818161</v>
      </c>
      <c r="F1669" s="3">
        <v>3.7296400070190399</v>
      </c>
      <c r="G1669" s="3">
        <v>12</v>
      </c>
      <c r="H1669" s="4">
        <v>17441320</v>
      </c>
      <c r="I1669" s="2"/>
      <c r="J1669" s="3">
        <v>71.585694654256613</v>
      </c>
      <c r="K1669" s="3">
        <v>52.402876298701287</v>
      </c>
    </row>
    <row r="1670" spans="1:11" x14ac:dyDescent="0.2">
      <c r="A1670" s="2" t="s">
        <v>161</v>
      </c>
      <c r="B1670" s="2" t="s">
        <v>162</v>
      </c>
      <c r="C1670" s="3">
        <v>2018</v>
      </c>
      <c r="D1670" s="3">
        <v>3646.9596648165461</v>
      </c>
      <c r="E1670" s="3">
        <v>-0.65351772308349598</v>
      </c>
      <c r="F1670" s="3">
        <v>4.7397499084472701</v>
      </c>
      <c r="G1670" s="3">
        <v>11</v>
      </c>
      <c r="H1670" s="4">
        <v>17973569</v>
      </c>
      <c r="I1670" s="2"/>
      <c r="J1670" s="3">
        <v>74.88836952746648</v>
      </c>
      <c r="K1670" s="3">
        <v>52.446524461129151</v>
      </c>
    </row>
    <row r="1671" spans="1:11" x14ac:dyDescent="0.2">
      <c r="A1671" s="2" t="s">
        <v>161</v>
      </c>
      <c r="B1671" s="2" t="s">
        <v>162</v>
      </c>
      <c r="C1671" s="3">
        <v>2019</v>
      </c>
      <c r="D1671" s="3">
        <v>3591.5641888310802</v>
      </c>
      <c r="E1671" s="3">
        <v>-0.74178940057754505</v>
      </c>
      <c r="F1671" s="3">
        <v>4.4182401844798997</v>
      </c>
      <c r="G1671" s="3">
        <v>2</v>
      </c>
      <c r="H1671" s="4">
        <v>18513839</v>
      </c>
      <c r="I1671" s="2"/>
      <c r="J1671" s="3">
        <v>68.791204936095994</v>
      </c>
      <c r="K1671" s="3">
        <v>52.594136985930739</v>
      </c>
    </row>
    <row r="1672" spans="1:11" x14ac:dyDescent="0.2">
      <c r="A1672" s="2" t="s">
        <v>161</v>
      </c>
      <c r="B1672" s="2" t="s">
        <v>162</v>
      </c>
      <c r="C1672" s="3">
        <v>2020</v>
      </c>
      <c r="D1672" s="3">
        <v>3391.595411560952</v>
      </c>
      <c r="E1672" s="3">
        <v>-0.82468241453170799</v>
      </c>
      <c r="F1672" s="3">
        <v>3.9437410056171198</v>
      </c>
      <c r="G1672" s="3">
        <v>17</v>
      </c>
      <c r="H1672" s="4">
        <v>19059395</v>
      </c>
      <c r="I1672" s="2"/>
      <c r="J1672" s="3">
        <v>79.206849409595463</v>
      </c>
      <c r="K1672" s="3">
        <v>53.331861192279938</v>
      </c>
    </row>
    <row r="1673" spans="1:11" x14ac:dyDescent="0.2">
      <c r="A1673" s="2" t="s">
        <v>161</v>
      </c>
      <c r="B1673" s="2" t="s">
        <v>162</v>
      </c>
      <c r="C1673" s="3">
        <v>2021</v>
      </c>
      <c r="D1673" s="3">
        <v>3503.034914183715</v>
      </c>
      <c r="E1673" s="3">
        <v>-0.84098303318023704</v>
      </c>
      <c r="F1673" s="3">
        <v>3.1136346530775301</v>
      </c>
      <c r="G1673" s="3">
        <v>13</v>
      </c>
      <c r="H1673" s="4">
        <v>19603607</v>
      </c>
      <c r="I1673" s="2"/>
      <c r="J1673" s="3">
        <v>86.208511193464474</v>
      </c>
      <c r="K1673" s="3">
        <v>53.59543839060246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7"/>
  <sheetViews>
    <sheetView topLeftCell="D1" workbookViewId="0">
      <pane ySplit="1" topLeftCell="A2" activePane="bottomLeft" state="frozen"/>
      <selection pane="bottomLeft" activeCell="K2" sqref="K2"/>
    </sheetView>
  </sheetViews>
  <sheetFormatPr baseColWidth="10" defaultColWidth="8.83203125" defaultRowHeight="15" x14ac:dyDescent="0.2"/>
  <cols>
    <col min="1" max="1" width="22" customWidth="1"/>
    <col min="2" max="3" width="12" customWidth="1"/>
    <col min="4" max="4" width="20" customWidth="1"/>
    <col min="5" max="5" width="35" customWidth="1"/>
    <col min="6" max="6" width="22" customWidth="1"/>
    <col min="7" max="7" width="32" customWidth="1"/>
    <col min="8" max="11" width="20" customWidth="1"/>
    <col min="12" max="13" width="19" customWidth="1"/>
    <col min="14" max="14" width="18" customWidth="1"/>
    <col min="15" max="15" width="20" customWidth="1"/>
    <col min="16" max="16" width="15" customWidth="1"/>
    <col min="17" max="17" width="22" customWidth="1"/>
    <col min="18" max="19" width="15" customWidth="1"/>
    <col min="20" max="20" width="20" customWidth="1"/>
    <col min="21" max="22" width="15" customWidth="1"/>
  </cols>
  <sheetData>
    <row r="1" spans="1:22" ht="30" customHeight="1" x14ac:dyDescent="0.2">
      <c r="A1" s="1" t="s">
        <v>0</v>
      </c>
      <c r="B1" s="1" t="s">
        <v>1</v>
      </c>
      <c r="C1" s="1" t="s">
        <v>163</v>
      </c>
      <c r="D1" s="1" t="s">
        <v>3</v>
      </c>
      <c r="E1" s="1" t="s">
        <v>4</v>
      </c>
      <c r="F1" s="1" t="s">
        <v>5</v>
      </c>
      <c r="G1" s="1" t="s">
        <v>6</v>
      </c>
      <c r="H1" s="1" t="s">
        <v>7</v>
      </c>
      <c r="I1" s="1" t="s">
        <v>8</v>
      </c>
      <c r="J1" s="1" t="s">
        <v>9</v>
      </c>
      <c r="K1" s="1" t="s">
        <v>10</v>
      </c>
      <c r="L1" s="1" t="s">
        <v>164</v>
      </c>
      <c r="M1" s="1" t="s">
        <v>165</v>
      </c>
      <c r="N1" s="1" t="s">
        <v>166</v>
      </c>
      <c r="O1" s="1" t="s">
        <v>167</v>
      </c>
      <c r="P1" s="1" t="s">
        <v>168</v>
      </c>
      <c r="Q1" s="1" t="s">
        <v>169</v>
      </c>
      <c r="R1" s="1" t="s">
        <v>170</v>
      </c>
      <c r="S1" s="1" t="s">
        <v>171</v>
      </c>
      <c r="T1" s="1" t="s">
        <v>172</v>
      </c>
      <c r="U1" s="1" t="s">
        <v>173</v>
      </c>
      <c r="V1" s="1" t="s">
        <v>174</v>
      </c>
    </row>
    <row r="2" spans="1:22" x14ac:dyDescent="0.2">
      <c r="A2" s="2" t="s">
        <v>11</v>
      </c>
      <c r="B2" s="2" t="s">
        <v>12</v>
      </c>
      <c r="C2" s="5">
        <v>22</v>
      </c>
      <c r="D2" s="3">
        <v>25664.947459779309</v>
      </c>
      <c r="E2" s="3">
        <v>-9.6529919964571706E-2</v>
      </c>
      <c r="F2" s="3">
        <v>4.8222545710476963</v>
      </c>
      <c r="G2" s="3">
        <v>711.5454545454545</v>
      </c>
      <c r="H2" s="4">
        <v>41492246.136363633</v>
      </c>
      <c r="I2" s="3">
        <v>0.50886363636363641</v>
      </c>
      <c r="J2" s="3">
        <v>32.861101282153292</v>
      </c>
      <c r="K2" s="3">
        <v>71.286360007350041</v>
      </c>
      <c r="L2" s="3">
        <v>74.298191176470596</v>
      </c>
      <c r="M2" s="3">
        <v>74.836351381461682</v>
      </c>
      <c r="N2" s="3">
        <v>0.53816020499108674</v>
      </c>
      <c r="O2" s="5">
        <v>22</v>
      </c>
      <c r="P2" s="5">
        <v>21</v>
      </c>
      <c r="Q2" s="5">
        <v>22</v>
      </c>
      <c r="R2" s="5">
        <v>22</v>
      </c>
      <c r="S2" s="5">
        <v>22</v>
      </c>
      <c r="T2" s="5">
        <v>22</v>
      </c>
      <c r="U2" s="5">
        <v>22</v>
      </c>
      <c r="V2" s="5">
        <v>22</v>
      </c>
    </row>
    <row r="3" spans="1:22" x14ac:dyDescent="0.2">
      <c r="A3" s="2" t="s">
        <v>13</v>
      </c>
      <c r="B3" s="2" t="s">
        <v>14</v>
      </c>
      <c r="C3" s="5">
        <v>22</v>
      </c>
      <c r="D3" s="3">
        <v>10943.36012721039</v>
      </c>
      <c r="E3" s="3">
        <v>-0.20360369802940459</v>
      </c>
      <c r="F3" s="3">
        <v>2.706826131652087</v>
      </c>
      <c r="G3" s="3">
        <v>132.66666666666671</v>
      </c>
      <c r="H3" s="4">
        <v>3067195.4545454551</v>
      </c>
      <c r="I3" s="3">
        <v>0.2378395454545455</v>
      </c>
      <c r="J3" s="3">
        <v>73.054205511931826</v>
      </c>
      <c r="K3" s="3">
        <v>70.749834053706707</v>
      </c>
      <c r="L3" s="3">
        <v>73.909823511904762</v>
      </c>
      <c r="M3" s="3">
        <v>74.253555833545548</v>
      </c>
      <c r="N3" s="3">
        <v>0.34373232164078621</v>
      </c>
      <c r="O3" s="5">
        <v>22</v>
      </c>
      <c r="P3" s="5">
        <v>21</v>
      </c>
      <c r="Q3" s="5">
        <v>22</v>
      </c>
      <c r="R3" s="5">
        <v>21</v>
      </c>
      <c r="S3" s="5">
        <v>22</v>
      </c>
      <c r="T3" s="5">
        <v>22</v>
      </c>
      <c r="U3" s="5">
        <v>22</v>
      </c>
      <c r="V3" s="5">
        <v>22</v>
      </c>
    </row>
    <row r="4" spans="1:22" x14ac:dyDescent="0.2">
      <c r="A4" s="2" t="s">
        <v>15</v>
      </c>
      <c r="B4" s="2" t="s">
        <v>16</v>
      </c>
      <c r="C4" s="5">
        <v>22</v>
      </c>
      <c r="D4" s="3">
        <v>59527.39762808173</v>
      </c>
      <c r="E4" s="3">
        <v>1.661072203091214</v>
      </c>
      <c r="F4" s="3">
        <v>5.4654959331859239</v>
      </c>
      <c r="G4" s="3">
        <v>2141.363636363636</v>
      </c>
      <c r="H4" s="4">
        <v>8448510.5909090918</v>
      </c>
      <c r="I4" s="3">
        <v>2.6756472727272729</v>
      </c>
      <c r="J4" s="3">
        <v>99.250266872577811</v>
      </c>
      <c r="K4" s="3">
        <v>82.383104864611397</v>
      </c>
      <c r="L4" s="3">
        <v>84.331370770375457</v>
      </c>
      <c r="M4" s="3">
        <v>83.012913138250667</v>
      </c>
      <c r="N4" s="3">
        <v>-1.3184576321247901</v>
      </c>
      <c r="O4" s="5">
        <v>22</v>
      </c>
      <c r="P4" s="5">
        <v>21</v>
      </c>
      <c r="Q4" s="5">
        <v>22</v>
      </c>
      <c r="R4" s="5">
        <v>22</v>
      </c>
      <c r="S4" s="5">
        <v>22</v>
      </c>
      <c r="T4" s="5">
        <v>22</v>
      </c>
      <c r="U4" s="5">
        <v>22</v>
      </c>
      <c r="V4" s="5">
        <v>22</v>
      </c>
    </row>
    <row r="5" spans="1:22" x14ac:dyDescent="0.2">
      <c r="A5" s="2" t="s">
        <v>17</v>
      </c>
      <c r="B5" s="2" t="s">
        <v>18</v>
      </c>
      <c r="C5" s="5">
        <v>22</v>
      </c>
      <c r="D5" s="3">
        <v>15918.566901128461</v>
      </c>
      <c r="E5" s="3">
        <v>-0.54360978092466083</v>
      </c>
      <c r="F5" s="3">
        <v>2.9701986421238291</v>
      </c>
      <c r="G5" s="3">
        <v>200.71428571428569</v>
      </c>
      <c r="H5" s="4">
        <v>9089631</v>
      </c>
      <c r="I5" s="3">
        <v>0.23048909090909089</v>
      </c>
      <c r="J5" s="3">
        <v>87.171216555590433</v>
      </c>
      <c r="K5" s="3">
        <v>68.71313283955628</v>
      </c>
      <c r="L5" s="3">
        <v>73.028039508928572</v>
      </c>
      <c r="M5" s="3">
        <v>72.900156066972258</v>
      </c>
      <c r="N5" s="3">
        <v>-0.12788344195631399</v>
      </c>
      <c r="O5" s="5">
        <v>22</v>
      </c>
      <c r="P5" s="5">
        <v>21</v>
      </c>
      <c r="Q5" s="5">
        <v>22</v>
      </c>
      <c r="R5" s="5">
        <v>21</v>
      </c>
      <c r="S5" s="5">
        <v>22</v>
      </c>
      <c r="T5" s="5">
        <v>22</v>
      </c>
      <c r="U5" s="5">
        <v>22</v>
      </c>
      <c r="V5" s="5">
        <v>22</v>
      </c>
    </row>
    <row r="6" spans="1:22" x14ac:dyDescent="0.2">
      <c r="A6" s="2" t="s">
        <v>19</v>
      </c>
      <c r="B6" s="2" t="s">
        <v>20</v>
      </c>
      <c r="C6" s="5">
        <v>22</v>
      </c>
      <c r="D6" s="3">
        <v>4549.1433400882624</v>
      </c>
      <c r="E6" s="3">
        <v>-0.77035589161373319</v>
      </c>
      <c r="F6" s="3">
        <v>1.9914083279134469</v>
      </c>
      <c r="G6" s="3">
        <v>54.454545454545453</v>
      </c>
      <c r="H6" s="4">
        <v>152443205.27272731</v>
      </c>
      <c r="I6" s="2"/>
      <c r="J6" s="3">
        <v>35.714604408899241</v>
      </c>
      <c r="K6" s="3">
        <v>57.639983572933303</v>
      </c>
      <c r="L6" s="3">
        <v>63.242468954248373</v>
      </c>
      <c r="M6" s="3">
        <v>63.882218606230389</v>
      </c>
      <c r="N6" s="3">
        <v>0.63974965198201517</v>
      </c>
      <c r="O6" s="5">
        <v>22</v>
      </c>
      <c r="P6" s="5">
        <v>21</v>
      </c>
      <c r="Q6" s="5">
        <v>20</v>
      </c>
      <c r="R6" s="5">
        <v>22</v>
      </c>
      <c r="S6" s="5">
        <v>22</v>
      </c>
      <c r="T6" s="5">
        <v>0</v>
      </c>
      <c r="U6" s="5">
        <v>22</v>
      </c>
      <c r="V6" s="5">
        <v>22</v>
      </c>
    </row>
    <row r="7" spans="1:22" x14ac:dyDescent="0.2">
      <c r="A7" s="2" t="s">
        <v>21</v>
      </c>
      <c r="B7" s="2" t="s">
        <v>22</v>
      </c>
      <c r="C7" s="5">
        <v>22</v>
      </c>
      <c r="D7" s="3">
        <v>21571.14576588515</v>
      </c>
      <c r="E7" s="3">
        <v>-0.86555927566119584</v>
      </c>
      <c r="F7" s="3">
        <v>5.1046832667456741</v>
      </c>
      <c r="G7" s="3">
        <v>1003.181818181818</v>
      </c>
      <c r="H7" s="4">
        <v>9562614.8636363633</v>
      </c>
      <c r="I7" s="3">
        <v>0.63048272727272725</v>
      </c>
      <c r="J7" s="3">
        <v>129.6651023402822</v>
      </c>
      <c r="K7" s="3">
        <v>76.601243090195794</v>
      </c>
      <c r="L7" s="3">
        <v>79.43371541756855</v>
      </c>
      <c r="M7" s="3">
        <v>78.465706642050776</v>
      </c>
      <c r="N7" s="3">
        <v>-0.96800877551777376</v>
      </c>
      <c r="O7" s="5">
        <v>22</v>
      </c>
      <c r="P7" s="5">
        <v>21</v>
      </c>
      <c r="Q7" s="5">
        <v>18</v>
      </c>
      <c r="R7" s="5">
        <v>22</v>
      </c>
      <c r="S7" s="5">
        <v>22</v>
      </c>
      <c r="T7" s="5">
        <v>22</v>
      </c>
      <c r="U7" s="5">
        <v>22</v>
      </c>
      <c r="V7" s="5">
        <v>22</v>
      </c>
    </row>
    <row r="8" spans="1:22" x14ac:dyDescent="0.2">
      <c r="A8" s="2" t="s">
        <v>23</v>
      </c>
      <c r="B8" s="2" t="s">
        <v>24</v>
      </c>
      <c r="C8" s="5">
        <v>22</v>
      </c>
      <c r="D8" s="3">
        <v>55951.437805439979</v>
      </c>
      <c r="E8" s="3">
        <v>1.535040582929339</v>
      </c>
      <c r="F8" s="3">
        <v>6.4245807011922214</v>
      </c>
      <c r="G8" s="3">
        <v>706.13636363636363</v>
      </c>
      <c r="H8" s="4">
        <v>10920794.13636364</v>
      </c>
      <c r="I8" s="3">
        <v>2.2985854545454552</v>
      </c>
      <c r="J8" s="3">
        <v>153.0400091376311</v>
      </c>
      <c r="K8" s="3">
        <v>77.073346196495123</v>
      </c>
      <c r="L8" s="3">
        <v>80.370938880400658</v>
      </c>
      <c r="M8" s="3">
        <v>80.673855105678626</v>
      </c>
      <c r="N8" s="3">
        <v>0.30291622527796852</v>
      </c>
      <c r="O8" s="5">
        <v>22</v>
      </c>
      <c r="P8" s="5">
        <v>21</v>
      </c>
      <c r="Q8" s="5">
        <v>15</v>
      </c>
      <c r="R8" s="5">
        <v>22</v>
      </c>
      <c r="S8" s="5">
        <v>22</v>
      </c>
      <c r="T8" s="5">
        <v>22</v>
      </c>
      <c r="U8" s="5">
        <v>22</v>
      </c>
      <c r="V8" s="5">
        <v>22</v>
      </c>
    </row>
    <row r="9" spans="1:22" x14ac:dyDescent="0.2">
      <c r="A9" s="2" t="s">
        <v>25</v>
      </c>
      <c r="B9" s="2" t="s">
        <v>26</v>
      </c>
      <c r="C9" s="5">
        <v>22</v>
      </c>
      <c r="D9" s="3">
        <v>12471.90731972711</v>
      </c>
      <c r="E9" s="3">
        <v>-0.72730150534993177</v>
      </c>
      <c r="F9" s="3">
        <v>3.5661609694403631</v>
      </c>
      <c r="G9" s="3">
        <v>48.5</v>
      </c>
      <c r="H9" s="4">
        <v>3770151.5454545449</v>
      </c>
      <c r="I9" s="3">
        <v>0.14071823529411759</v>
      </c>
      <c r="J9" s="3">
        <v>86.407945176199533</v>
      </c>
      <c r="K9" s="3">
        <v>70.597983906289798</v>
      </c>
      <c r="L9" s="3">
        <v>73.498815056022423</v>
      </c>
      <c r="M9" s="3">
        <v>73.75069509803923</v>
      </c>
      <c r="N9" s="3">
        <v>0.25188004201680769</v>
      </c>
      <c r="O9" s="5">
        <v>22</v>
      </c>
      <c r="P9" s="5">
        <v>21</v>
      </c>
      <c r="Q9" s="5">
        <v>8</v>
      </c>
      <c r="R9" s="5">
        <v>18</v>
      </c>
      <c r="S9" s="5">
        <v>22</v>
      </c>
      <c r="T9" s="5">
        <v>17</v>
      </c>
      <c r="U9" s="5">
        <v>22</v>
      </c>
      <c r="V9" s="5">
        <v>22</v>
      </c>
    </row>
    <row r="10" spans="1:22" x14ac:dyDescent="0.2">
      <c r="A10" s="2" t="s">
        <v>27</v>
      </c>
      <c r="B10" s="2" t="s">
        <v>28</v>
      </c>
      <c r="C10" s="5">
        <v>22</v>
      </c>
      <c r="D10" s="3">
        <v>16900.855985208371</v>
      </c>
      <c r="E10" s="3">
        <v>-0.20813114320238429</v>
      </c>
      <c r="F10" s="3">
        <v>5.3237843172890802</v>
      </c>
      <c r="G10" s="3">
        <v>4446.090909090909</v>
      </c>
      <c r="H10" s="4">
        <v>193648123.9545455</v>
      </c>
      <c r="I10" s="3">
        <v>1.123433809523809</v>
      </c>
      <c r="J10" s="3">
        <v>26.75553752112047</v>
      </c>
      <c r="K10" s="3">
        <v>70.417480741525253</v>
      </c>
      <c r="L10" s="3">
        <v>72.727047871572893</v>
      </c>
      <c r="M10" s="3">
        <v>73.812205336983283</v>
      </c>
      <c r="N10" s="3">
        <v>1.0851574654103899</v>
      </c>
      <c r="O10" s="5">
        <v>22</v>
      </c>
      <c r="P10" s="5">
        <v>21</v>
      </c>
      <c r="Q10" s="5">
        <v>21</v>
      </c>
      <c r="R10" s="5">
        <v>22</v>
      </c>
      <c r="S10" s="5">
        <v>22</v>
      </c>
      <c r="T10" s="5">
        <v>21</v>
      </c>
      <c r="U10" s="5">
        <v>22</v>
      </c>
      <c r="V10" s="5">
        <v>22</v>
      </c>
    </row>
    <row r="11" spans="1:22" x14ac:dyDescent="0.2">
      <c r="A11" s="2" t="s">
        <v>29</v>
      </c>
      <c r="B11" s="2" t="s">
        <v>30</v>
      </c>
      <c r="C11" s="5">
        <v>22</v>
      </c>
      <c r="D11" s="3">
        <v>21747.997223624228</v>
      </c>
      <c r="E11" s="3">
        <v>-5.3402344208388474E-3</v>
      </c>
      <c r="F11" s="3">
        <v>3.9821800258424549</v>
      </c>
      <c r="G11" s="3">
        <v>240.09090909090909</v>
      </c>
      <c r="H11" s="4">
        <v>7300079.2272727285</v>
      </c>
      <c r="I11" s="3">
        <v>0.6087309090909091</v>
      </c>
      <c r="J11" s="3">
        <v>110.2635725468805</v>
      </c>
      <c r="K11" s="3">
        <v>72.99846667939903</v>
      </c>
      <c r="L11" s="3">
        <v>75.953734243697482</v>
      </c>
      <c r="M11" s="3">
        <v>76.30265259103642</v>
      </c>
      <c r="N11" s="3">
        <v>0.34891834733893751</v>
      </c>
      <c r="O11" s="5">
        <v>22</v>
      </c>
      <c r="P11" s="5">
        <v>21</v>
      </c>
      <c r="Q11" s="5">
        <v>18</v>
      </c>
      <c r="R11" s="5">
        <v>22</v>
      </c>
      <c r="S11" s="5">
        <v>22</v>
      </c>
      <c r="T11" s="5">
        <v>22</v>
      </c>
      <c r="U11" s="5">
        <v>22</v>
      </c>
      <c r="V11" s="5">
        <v>22</v>
      </c>
    </row>
    <row r="12" spans="1:22" x14ac:dyDescent="0.2">
      <c r="A12" s="2" t="s">
        <v>31</v>
      </c>
      <c r="B12" s="2" t="s">
        <v>32</v>
      </c>
      <c r="C12" s="5">
        <v>22</v>
      </c>
      <c r="D12" s="3">
        <v>53517.998600958803</v>
      </c>
      <c r="E12" s="3">
        <v>1.774015772910345</v>
      </c>
      <c r="F12" s="3">
        <v>4.9018705421023903</v>
      </c>
      <c r="G12" s="3">
        <v>4547.045454545455</v>
      </c>
      <c r="H12" s="4">
        <v>34278218.136363633</v>
      </c>
      <c r="I12" s="3">
        <v>1.8461345454545459</v>
      </c>
      <c r="J12" s="3">
        <v>66.870846039963268</v>
      </c>
      <c r="K12" s="3">
        <v>77.374365880153718</v>
      </c>
      <c r="L12" s="3">
        <v>79.037149011119595</v>
      </c>
      <c r="M12" s="3">
        <v>79.168558810797037</v>
      </c>
      <c r="N12" s="3">
        <v>0.13140979967744221</v>
      </c>
      <c r="O12" s="5">
        <v>22</v>
      </c>
      <c r="P12" s="5">
        <v>21</v>
      </c>
      <c r="Q12" s="5">
        <v>18</v>
      </c>
      <c r="R12" s="5">
        <v>22</v>
      </c>
      <c r="S12" s="5">
        <v>22</v>
      </c>
      <c r="T12" s="5">
        <v>22</v>
      </c>
      <c r="U12" s="5">
        <v>22</v>
      </c>
      <c r="V12" s="5">
        <v>22</v>
      </c>
    </row>
    <row r="13" spans="1:22" x14ac:dyDescent="0.2">
      <c r="A13" s="2" t="s">
        <v>33</v>
      </c>
      <c r="B13" s="2" t="s">
        <v>34</v>
      </c>
      <c r="C13" s="5">
        <v>22</v>
      </c>
      <c r="D13" s="3">
        <v>24156.935853874769</v>
      </c>
      <c r="E13" s="3">
        <v>1.00433619817098</v>
      </c>
      <c r="F13" s="3">
        <v>4.3925284624099721</v>
      </c>
      <c r="G13" s="3">
        <v>372.04545454545462</v>
      </c>
      <c r="H13" s="4">
        <v>17365043.77272727</v>
      </c>
      <c r="I13" s="3">
        <v>0.35813666666666671</v>
      </c>
      <c r="J13" s="3">
        <v>65.475125469751575</v>
      </c>
      <c r="K13" s="3">
        <v>74.600733897222796</v>
      </c>
      <c r="L13" s="3">
        <v>77.805213891010951</v>
      </c>
      <c r="M13" s="3">
        <v>78.051832569391379</v>
      </c>
      <c r="N13" s="3">
        <v>0.24661867838042889</v>
      </c>
      <c r="O13" s="5">
        <v>22</v>
      </c>
      <c r="P13" s="5">
        <v>21</v>
      </c>
      <c r="Q13" s="5">
        <v>20</v>
      </c>
      <c r="R13" s="5">
        <v>22</v>
      </c>
      <c r="S13" s="5">
        <v>22</v>
      </c>
      <c r="T13" s="5">
        <v>15</v>
      </c>
      <c r="U13" s="5">
        <v>22</v>
      </c>
      <c r="V13" s="5">
        <v>22</v>
      </c>
    </row>
    <row r="14" spans="1:22" x14ac:dyDescent="0.2">
      <c r="A14" s="2" t="s">
        <v>35</v>
      </c>
      <c r="B14" s="2" t="s">
        <v>36</v>
      </c>
      <c r="C14" s="5">
        <v>22</v>
      </c>
      <c r="D14" s="3">
        <v>11314.179603487129</v>
      </c>
      <c r="E14" s="3">
        <v>0.19073176882894979</v>
      </c>
      <c r="F14" s="2"/>
      <c r="G14" s="3">
        <v>572197.63636363635</v>
      </c>
      <c r="H14" s="4">
        <v>1343535000</v>
      </c>
      <c r="I14" s="3">
        <v>1.695995454545455</v>
      </c>
      <c r="J14" s="3">
        <v>45.821642152173688</v>
      </c>
      <c r="K14" s="3">
        <v>66.825083120229451</v>
      </c>
      <c r="L14" s="3">
        <v>73.985571236443292</v>
      </c>
      <c r="M14" s="3">
        <v>74.392781101414926</v>
      </c>
      <c r="N14" s="3">
        <v>0.40720986497163381</v>
      </c>
      <c r="O14" s="5">
        <v>22</v>
      </c>
      <c r="P14" s="5">
        <v>21</v>
      </c>
      <c r="Q14" s="5">
        <v>0</v>
      </c>
      <c r="R14" s="5">
        <v>22</v>
      </c>
      <c r="S14" s="5">
        <v>22</v>
      </c>
      <c r="T14" s="5">
        <v>22</v>
      </c>
      <c r="U14" s="5">
        <v>22</v>
      </c>
      <c r="V14" s="5">
        <v>22</v>
      </c>
    </row>
    <row r="15" spans="1:22" x14ac:dyDescent="0.2">
      <c r="A15" s="2" t="s">
        <v>37</v>
      </c>
      <c r="B15" s="2" t="s">
        <v>38</v>
      </c>
      <c r="C15" s="5">
        <v>22</v>
      </c>
      <c r="D15" s="3">
        <v>14342.863322972011</v>
      </c>
      <c r="E15" s="3">
        <v>-0.13190400490670329</v>
      </c>
      <c r="F15" s="3">
        <v>4.3576857021876743</v>
      </c>
      <c r="G15" s="3">
        <v>232.4545454545455</v>
      </c>
      <c r="H15" s="4">
        <v>44974962.090909094</v>
      </c>
      <c r="I15" s="3">
        <v>0.22189047619047619</v>
      </c>
      <c r="J15" s="3">
        <v>36.659809262403087</v>
      </c>
      <c r="K15" s="3">
        <v>67.053078987063145</v>
      </c>
      <c r="L15" s="3">
        <v>69.374691683643164</v>
      </c>
      <c r="M15" s="3">
        <v>70.455097283762001</v>
      </c>
      <c r="N15" s="3">
        <v>1.0804056001188369</v>
      </c>
      <c r="O15" s="5">
        <v>22</v>
      </c>
      <c r="P15" s="5">
        <v>21</v>
      </c>
      <c r="Q15" s="5">
        <v>21</v>
      </c>
      <c r="R15" s="5">
        <v>22</v>
      </c>
      <c r="S15" s="5">
        <v>22</v>
      </c>
      <c r="T15" s="5">
        <v>21</v>
      </c>
      <c r="U15" s="5">
        <v>22</v>
      </c>
      <c r="V15" s="5">
        <v>22</v>
      </c>
    </row>
    <row r="16" spans="1:22" x14ac:dyDescent="0.2">
      <c r="A16" s="2" t="s">
        <v>39</v>
      </c>
      <c r="B16" s="2" t="s">
        <v>40</v>
      </c>
      <c r="C16" s="5">
        <v>22</v>
      </c>
      <c r="D16" s="3">
        <v>18926.627810937909</v>
      </c>
      <c r="E16" s="3">
        <v>0.27543609979606798</v>
      </c>
      <c r="F16" s="3">
        <v>5.9494918868655251</v>
      </c>
      <c r="G16" s="3">
        <v>17.68181818181818</v>
      </c>
      <c r="H16" s="4">
        <v>4555764.3181818184</v>
      </c>
      <c r="I16" s="3">
        <v>0.42789333333333329</v>
      </c>
      <c r="J16" s="3">
        <v>73.732694484624687</v>
      </c>
      <c r="K16" s="3">
        <v>70.049894415893078</v>
      </c>
      <c r="L16" s="3">
        <v>72.995214529751294</v>
      </c>
      <c r="M16" s="3">
        <v>73.443679982599093</v>
      </c>
      <c r="N16" s="3">
        <v>0.44846545284779887</v>
      </c>
      <c r="O16" s="5">
        <v>22</v>
      </c>
      <c r="P16" s="5">
        <v>21</v>
      </c>
      <c r="Q16" s="5">
        <v>21</v>
      </c>
      <c r="R16" s="5">
        <v>22</v>
      </c>
      <c r="S16" s="5">
        <v>22</v>
      </c>
      <c r="T16" s="5">
        <v>18</v>
      </c>
      <c r="U16" s="5">
        <v>22</v>
      </c>
      <c r="V16" s="5">
        <v>22</v>
      </c>
    </row>
    <row r="17" spans="1:22" x14ac:dyDescent="0.2">
      <c r="A17" s="2" t="s">
        <v>41</v>
      </c>
      <c r="B17" s="2" t="s">
        <v>42</v>
      </c>
      <c r="C17" s="5">
        <v>22</v>
      </c>
      <c r="D17" s="3">
        <v>29140.492915301991</v>
      </c>
      <c r="E17" s="3">
        <v>0.50258142323721033</v>
      </c>
      <c r="F17" s="3">
        <v>4.0844614335468838</v>
      </c>
      <c r="G17" s="3">
        <v>250.40909090909091</v>
      </c>
      <c r="H17" s="4">
        <v>4205809.6363636367</v>
      </c>
      <c r="I17" s="3">
        <v>0.89480999999999999</v>
      </c>
      <c r="J17" s="3">
        <v>84.832236852263321</v>
      </c>
      <c r="K17" s="3">
        <v>77.336213901621264</v>
      </c>
      <c r="L17" s="3">
        <v>82.443467226890775</v>
      </c>
      <c r="M17" s="3">
        <v>82.389291783380003</v>
      </c>
      <c r="N17" s="3">
        <v>-5.417544351077197E-2</v>
      </c>
      <c r="O17" s="5">
        <v>22</v>
      </c>
      <c r="P17" s="5">
        <v>21</v>
      </c>
      <c r="Q17" s="5">
        <v>14</v>
      </c>
      <c r="R17" s="5">
        <v>22</v>
      </c>
      <c r="S17" s="5">
        <v>22</v>
      </c>
      <c r="T17" s="5">
        <v>22</v>
      </c>
      <c r="U17" s="5">
        <v>22</v>
      </c>
      <c r="V17" s="5">
        <v>22</v>
      </c>
    </row>
    <row r="18" spans="1:22" x14ac:dyDescent="0.2">
      <c r="A18" s="2" t="s">
        <v>43</v>
      </c>
      <c r="B18" s="2" t="s">
        <v>44</v>
      </c>
      <c r="C18" s="5">
        <v>22</v>
      </c>
      <c r="D18" s="3">
        <v>40807.634232954537</v>
      </c>
      <c r="E18" s="3">
        <v>1.168742301918211</v>
      </c>
      <c r="F18" s="3">
        <v>6.0583970308303829</v>
      </c>
      <c r="G18" s="3">
        <v>6.0588235294117636</v>
      </c>
      <c r="H18" s="4">
        <v>1135801.5454545449</v>
      </c>
      <c r="I18" s="3">
        <v>0.4639372727272727</v>
      </c>
      <c r="J18" s="3">
        <v>127.8718634980827</v>
      </c>
      <c r="K18" s="3">
        <v>70.558451309229994</v>
      </c>
      <c r="L18" s="3">
        <v>73.599996177188828</v>
      </c>
      <c r="M18" s="3">
        <v>73.75585951483157</v>
      </c>
      <c r="N18" s="3">
        <v>0.15586333764274229</v>
      </c>
      <c r="O18" s="5">
        <v>22</v>
      </c>
      <c r="P18" s="5">
        <v>21</v>
      </c>
      <c r="Q18" s="5">
        <v>20</v>
      </c>
      <c r="R18" s="5">
        <v>17</v>
      </c>
      <c r="S18" s="5">
        <v>22</v>
      </c>
      <c r="T18" s="5">
        <v>22</v>
      </c>
      <c r="U18" s="5">
        <v>22</v>
      </c>
      <c r="V18" s="5">
        <v>22</v>
      </c>
    </row>
    <row r="19" spans="1:22" x14ac:dyDescent="0.2">
      <c r="A19" s="2" t="s">
        <v>45</v>
      </c>
      <c r="B19" s="2" t="s">
        <v>46</v>
      </c>
      <c r="C19" s="5">
        <v>22</v>
      </c>
      <c r="D19" s="3">
        <v>39205.726829963358</v>
      </c>
      <c r="E19" s="3">
        <v>0.92869786421457989</v>
      </c>
      <c r="F19" s="3">
        <v>4.2017668160525243</v>
      </c>
      <c r="G19" s="3">
        <v>721.63636363636363</v>
      </c>
      <c r="H19" s="4">
        <v>10425924.09090909</v>
      </c>
      <c r="I19" s="3">
        <v>1.51969</v>
      </c>
      <c r="J19" s="3">
        <v>128.20384013884609</v>
      </c>
      <c r="K19" s="3">
        <v>79.478383370228258</v>
      </c>
      <c r="L19" s="3">
        <v>82.556665796356413</v>
      </c>
      <c r="M19" s="3">
        <v>81.93560967978101</v>
      </c>
      <c r="N19" s="3">
        <v>-0.62105611657540294</v>
      </c>
      <c r="O19" s="5">
        <v>22</v>
      </c>
      <c r="P19" s="5">
        <v>21</v>
      </c>
      <c r="Q19" s="5">
        <v>22</v>
      </c>
      <c r="R19" s="5">
        <v>22</v>
      </c>
      <c r="S19" s="5">
        <v>22</v>
      </c>
      <c r="T19" s="5">
        <v>22</v>
      </c>
      <c r="U19" s="5">
        <v>22</v>
      </c>
      <c r="V19" s="5">
        <v>22</v>
      </c>
    </row>
    <row r="20" spans="1:22" x14ac:dyDescent="0.2">
      <c r="A20" s="2" t="s">
        <v>47</v>
      </c>
      <c r="B20" s="2" t="s">
        <v>48</v>
      </c>
      <c r="C20" s="5">
        <v>22</v>
      </c>
      <c r="D20" s="3">
        <v>62170.87110920823</v>
      </c>
      <c r="E20" s="3">
        <v>2.0102171954654509</v>
      </c>
      <c r="F20" s="3">
        <v>7.8309866814386284</v>
      </c>
      <c r="G20" s="3">
        <v>1532.545454545455</v>
      </c>
      <c r="H20" s="4">
        <v>5574781.2272727285</v>
      </c>
      <c r="I20" s="3">
        <v>2.7466436363636371</v>
      </c>
      <c r="J20" s="3">
        <v>97.763894197748371</v>
      </c>
      <c r="K20" s="3">
        <v>82.961390756013145</v>
      </c>
      <c r="L20" s="3">
        <v>84.913087692046517</v>
      </c>
      <c r="M20" s="3">
        <v>85.256608318478911</v>
      </c>
      <c r="N20" s="3">
        <v>0.34352062643239378</v>
      </c>
      <c r="O20" s="5">
        <v>22</v>
      </c>
      <c r="P20" s="5">
        <v>21</v>
      </c>
      <c r="Q20" s="5">
        <v>21</v>
      </c>
      <c r="R20" s="5">
        <v>22</v>
      </c>
      <c r="S20" s="5">
        <v>22</v>
      </c>
      <c r="T20" s="5">
        <v>22</v>
      </c>
      <c r="U20" s="5">
        <v>22</v>
      </c>
      <c r="V20" s="5">
        <v>22</v>
      </c>
    </row>
    <row r="21" spans="1:22" x14ac:dyDescent="0.2">
      <c r="A21" s="2" t="s">
        <v>49</v>
      </c>
      <c r="B21" s="2" t="s">
        <v>50</v>
      </c>
      <c r="C21" s="5">
        <v>22</v>
      </c>
      <c r="D21" s="3">
        <v>12582.54824061235</v>
      </c>
      <c r="E21" s="3">
        <v>-0.4504870559488024</v>
      </c>
      <c r="F21" s="3">
        <v>4.3096666336059544</v>
      </c>
      <c r="G21" s="3">
        <v>679.04761904761904</v>
      </c>
      <c r="H21" s="4">
        <v>91250327.681818187</v>
      </c>
      <c r="I21" s="3">
        <v>0.52918947368421054</v>
      </c>
      <c r="J21" s="3">
        <v>45.897180626890332</v>
      </c>
      <c r="K21" s="3">
        <v>65.232358363620932</v>
      </c>
      <c r="L21" s="3">
        <v>67.798087080892969</v>
      </c>
      <c r="M21" s="3">
        <v>68.091049849333672</v>
      </c>
      <c r="N21" s="3">
        <v>0.29296276844070229</v>
      </c>
      <c r="O21" s="5">
        <v>22</v>
      </c>
      <c r="P21" s="5">
        <v>21</v>
      </c>
      <c r="Q21" s="5">
        <v>6</v>
      </c>
      <c r="R21" s="5">
        <v>21</v>
      </c>
      <c r="S21" s="5">
        <v>22</v>
      </c>
      <c r="T21" s="5">
        <v>19</v>
      </c>
      <c r="U21" s="5">
        <v>22</v>
      </c>
      <c r="V21" s="5">
        <v>22</v>
      </c>
    </row>
    <row r="22" spans="1:22" x14ac:dyDescent="0.2">
      <c r="A22" s="2" t="s">
        <v>51</v>
      </c>
      <c r="B22" s="2" t="s">
        <v>52</v>
      </c>
      <c r="C22" s="5">
        <v>22</v>
      </c>
      <c r="D22" s="3">
        <v>33177.367030495807</v>
      </c>
      <c r="E22" s="3">
        <v>1.0264246974672591</v>
      </c>
      <c r="F22" s="3">
        <v>5.10698143641154</v>
      </c>
      <c r="G22" s="3">
        <v>34.909090909090907</v>
      </c>
      <c r="H22" s="4">
        <v>1340166</v>
      </c>
      <c r="I22" s="3">
        <v>1.320935</v>
      </c>
      <c r="J22" s="3">
        <v>141.53158038338441</v>
      </c>
      <c r="K22" s="3">
        <v>76.596867706669457</v>
      </c>
      <c r="L22" s="3">
        <v>80.337069126135304</v>
      </c>
      <c r="M22" s="3">
        <v>80.760673525167647</v>
      </c>
      <c r="N22" s="3">
        <v>0.42360439903234243</v>
      </c>
      <c r="O22" s="5">
        <v>22</v>
      </c>
      <c r="P22" s="5">
        <v>21</v>
      </c>
      <c r="Q22" s="5">
        <v>21</v>
      </c>
      <c r="R22" s="5">
        <v>22</v>
      </c>
      <c r="S22" s="5">
        <v>22</v>
      </c>
      <c r="T22" s="5">
        <v>22</v>
      </c>
      <c r="U22" s="5">
        <v>22</v>
      </c>
      <c r="V22" s="5">
        <v>22</v>
      </c>
    </row>
    <row r="23" spans="1:22" x14ac:dyDescent="0.2">
      <c r="A23" s="2" t="s">
        <v>53</v>
      </c>
      <c r="B23" s="2" t="s">
        <v>54</v>
      </c>
      <c r="C23" s="5">
        <v>22</v>
      </c>
      <c r="D23" s="3">
        <v>53477.613925220983</v>
      </c>
      <c r="E23" s="3">
        <v>2.0637061368851422</v>
      </c>
      <c r="F23" s="3">
        <v>6.3940127112648701</v>
      </c>
      <c r="G23" s="3">
        <v>1729.772727272727</v>
      </c>
      <c r="H23" s="4">
        <v>5368916.9545454541</v>
      </c>
      <c r="I23" s="3">
        <v>3.203737272727273</v>
      </c>
      <c r="J23" s="3">
        <v>75.83478115047734</v>
      </c>
      <c r="K23" s="3">
        <v>84.953574260958888</v>
      </c>
      <c r="L23" s="3">
        <v>86.762526130405547</v>
      </c>
      <c r="M23" s="3">
        <v>87.022461629710165</v>
      </c>
      <c r="N23" s="3">
        <v>0.25993549930461768</v>
      </c>
      <c r="O23" s="5">
        <v>22</v>
      </c>
      <c r="P23" s="5">
        <v>21</v>
      </c>
      <c r="Q23" s="5">
        <v>22</v>
      </c>
      <c r="R23" s="5">
        <v>22</v>
      </c>
      <c r="S23" s="5">
        <v>22</v>
      </c>
      <c r="T23" s="5">
        <v>22</v>
      </c>
      <c r="U23" s="5">
        <v>22</v>
      </c>
      <c r="V23" s="5">
        <v>22</v>
      </c>
    </row>
    <row r="24" spans="1:22" x14ac:dyDescent="0.2">
      <c r="A24" s="2" t="s">
        <v>55</v>
      </c>
      <c r="B24" s="2" t="s">
        <v>56</v>
      </c>
      <c r="C24" s="5">
        <v>22</v>
      </c>
      <c r="D24" s="3">
        <v>49568.038775740722</v>
      </c>
      <c r="E24" s="3">
        <v>1.467586358388266</v>
      </c>
      <c r="F24" s="3">
        <v>5.4665539741516103</v>
      </c>
      <c r="G24" s="3">
        <v>14163.09090909091</v>
      </c>
      <c r="H24" s="4">
        <v>64884713</v>
      </c>
      <c r="I24" s="3">
        <v>2.166381363636364</v>
      </c>
      <c r="J24" s="3">
        <v>59.561662886405742</v>
      </c>
      <c r="K24" s="3">
        <v>79.767984070942433</v>
      </c>
      <c r="L24" s="3">
        <v>82.994768531958243</v>
      </c>
      <c r="M24" s="3">
        <v>83.139233284525929</v>
      </c>
      <c r="N24" s="3">
        <v>0.14446475256768571</v>
      </c>
      <c r="O24" s="5">
        <v>22</v>
      </c>
      <c r="P24" s="5">
        <v>21</v>
      </c>
      <c r="Q24" s="5">
        <v>5</v>
      </c>
      <c r="R24" s="5">
        <v>22</v>
      </c>
      <c r="S24" s="5">
        <v>22</v>
      </c>
      <c r="T24" s="5">
        <v>22</v>
      </c>
      <c r="U24" s="5">
        <v>22</v>
      </c>
      <c r="V24" s="5">
        <v>22</v>
      </c>
    </row>
    <row r="25" spans="1:22" x14ac:dyDescent="0.2">
      <c r="A25" s="2" t="s">
        <v>57</v>
      </c>
      <c r="B25" s="2" t="s">
        <v>58</v>
      </c>
      <c r="C25" s="5">
        <v>22</v>
      </c>
      <c r="D25" s="3">
        <v>12095.976751373481</v>
      </c>
      <c r="E25" s="3">
        <v>0.21463578939437869</v>
      </c>
      <c r="F25" s="3">
        <v>2.8919397374938098</v>
      </c>
      <c r="G25" s="3">
        <v>164.72727272727269</v>
      </c>
      <c r="H25" s="4">
        <v>3819220.4545454551</v>
      </c>
      <c r="I25" s="3">
        <v>0.23131199999999999</v>
      </c>
      <c r="J25" s="3">
        <v>88.324985755179569</v>
      </c>
      <c r="K25" s="3">
        <v>69.388030382896957</v>
      </c>
      <c r="L25" s="3">
        <v>73.368597387742994</v>
      </c>
      <c r="M25" s="3">
        <v>73.672216373822238</v>
      </c>
      <c r="N25" s="3">
        <v>0.30361898607924331</v>
      </c>
      <c r="O25" s="5">
        <v>22</v>
      </c>
      <c r="P25" s="5">
        <v>21</v>
      </c>
      <c r="Q25" s="5">
        <v>22</v>
      </c>
      <c r="R25" s="5">
        <v>22</v>
      </c>
      <c r="S25" s="5">
        <v>22</v>
      </c>
      <c r="T25" s="5">
        <v>15</v>
      </c>
      <c r="U25" s="5">
        <v>22</v>
      </c>
      <c r="V25" s="5">
        <v>22</v>
      </c>
    </row>
    <row r="26" spans="1:22" x14ac:dyDescent="0.2">
      <c r="A26" s="2" t="s">
        <v>59</v>
      </c>
      <c r="B26" s="2" t="s">
        <v>60</v>
      </c>
      <c r="C26" s="5">
        <v>22</v>
      </c>
      <c r="D26" s="3">
        <v>56203.587348146648</v>
      </c>
      <c r="E26" s="3">
        <v>1.5442636183329981</v>
      </c>
      <c r="F26" s="3">
        <v>4.9178522916940537</v>
      </c>
      <c r="G26" s="3">
        <v>47366.36363636364</v>
      </c>
      <c r="H26" s="4">
        <v>82108128.590909094</v>
      </c>
      <c r="I26" s="3">
        <v>2.7492086363636359</v>
      </c>
      <c r="J26" s="3">
        <v>72.005006232620275</v>
      </c>
      <c r="K26" s="3">
        <v>80.509770957956192</v>
      </c>
      <c r="L26" s="3">
        <v>83.247360294117655</v>
      </c>
      <c r="M26" s="3">
        <v>83.669599840845422</v>
      </c>
      <c r="N26" s="3">
        <v>0.42223954672776642</v>
      </c>
      <c r="O26" s="5">
        <v>22</v>
      </c>
      <c r="P26" s="5">
        <v>21</v>
      </c>
      <c r="Q26" s="5">
        <v>13</v>
      </c>
      <c r="R26" s="5">
        <v>22</v>
      </c>
      <c r="S26" s="5">
        <v>22</v>
      </c>
      <c r="T26" s="5">
        <v>22</v>
      </c>
      <c r="U26" s="5">
        <v>22</v>
      </c>
      <c r="V26" s="5">
        <v>22</v>
      </c>
    </row>
    <row r="27" spans="1:22" x14ac:dyDescent="0.2">
      <c r="A27" s="2" t="s">
        <v>61</v>
      </c>
      <c r="B27" s="2" t="s">
        <v>62</v>
      </c>
      <c r="C27" s="5">
        <v>22</v>
      </c>
      <c r="D27" s="3">
        <v>34713.744984754332</v>
      </c>
      <c r="E27" s="3">
        <v>0.46212427034264508</v>
      </c>
      <c r="F27" s="3">
        <v>3.5963110685348512</v>
      </c>
      <c r="G27" s="3">
        <v>517.9545454545455</v>
      </c>
      <c r="H27" s="4">
        <v>10904402.63636364</v>
      </c>
      <c r="I27" s="3">
        <v>0.84357900000000008</v>
      </c>
      <c r="J27" s="3">
        <v>60.916211000117187</v>
      </c>
      <c r="K27" s="3">
        <v>75.109476085916469</v>
      </c>
      <c r="L27" s="3">
        <v>78.880834101519383</v>
      </c>
      <c r="M27" s="3">
        <v>79.121656854256855</v>
      </c>
      <c r="N27" s="3">
        <v>0.240822752737472</v>
      </c>
      <c r="O27" s="5">
        <v>22</v>
      </c>
      <c r="P27" s="5">
        <v>21</v>
      </c>
      <c r="Q27" s="5">
        <v>10</v>
      </c>
      <c r="R27" s="5">
        <v>22</v>
      </c>
      <c r="S27" s="5">
        <v>22</v>
      </c>
      <c r="T27" s="5">
        <v>20</v>
      </c>
      <c r="U27" s="5">
        <v>22</v>
      </c>
      <c r="V27" s="5">
        <v>22</v>
      </c>
    </row>
    <row r="28" spans="1:22" x14ac:dyDescent="0.2">
      <c r="A28" s="2" t="s">
        <v>63</v>
      </c>
      <c r="B28" s="2" t="s">
        <v>64</v>
      </c>
      <c r="C28" s="5">
        <v>22</v>
      </c>
      <c r="D28" s="3">
        <v>10061.01401530946</v>
      </c>
      <c r="E28" s="3">
        <v>-0.7042904666491917</v>
      </c>
      <c r="F28" s="3">
        <v>3.0460033257802341</v>
      </c>
      <c r="G28" s="3">
        <v>11.22727272727273</v>
      </c>
      <c r="H28" s="4">
        <v>14666788.90909091</v>
      </c>
      <c r="I28" s="3">
        <v>4.2730588235294117E-2</v>
      </c>
      <c r="J28" s="3">
        <v>58.115416035930288</v>
      </c>
      <c r="K28" s="3">
        <v>56.565491362150922</v>
      </c>
      <c r="L28" s="3">
        <v>59.631920961718023</v>
      </c>
      <c r="M28" s="3">
        <v>59.863792343604118</v>
      </c>
      <c r="N28" s="3">
        <v>0.23187138188609421</v>
      </c>
      <c r="O28" s="5">
        <v>22</v>
      </c>
      <c r="P28" s="5">
        <v>21</v>
      </c>
      <c r="Q28" s="5">
        <v>15</v>
      </c>
      <c r="R28" s="5">
        <v>22</v>
      </c>
      <c r="S28" s="5">
        <v>22</v>
      </c>
      <c r="T28" s="5">
        <v>17</v>
      </c>
      <c r="U28" s="5">
        <v>22</v>
      </c>
      <c r="V28" s="5">
        <v>22</v>
      </c>
    </row>
    <row r="29" spans="1:22" x14ac:dyDescent="0.2">
      <c r="A29" s="2" t="s">
        <v>65</v>
      </c>
      <c r="B29" s="2" t="s">
        <v>66</v>
      </c>
      <c r="C29" s="5">
        <v>22</v>
      </c>
      <c r="D29" s="3">
        <v>29704.388436921079</v>
      </c>
      <c r="E29" s="3">
        <v>0.66217886124338421</v>
      </c>
      <c r="F29" s="3">
        <v>4.7919204885309394</v>
      </c>
      <c r="G29" s="3">
        <v>645.18181818181813</v>
      </c>
      <c r="H29" s="4">
        <v>9938827.0454545449</v>
      </c>
      <c r="I29" s="3">
        <v>1.1712531818181819</v>
      </c>
      <c r="J29" s="3">
        <v>150.89431288079439</v>
      </c>
      <c r="K29" s="3">
        <v>79.428467432740874</v>
      </c>
      <c r="L29" s="3">
        <v>81.784664801517934</v>
      </c>
      <c r="M29" s="3">
        <v>80.373091641446791</v>
      </c>
      <c r="N29" s="3">
        <v>-1.411573160071143</v>
      </c>
      <c r="O29" s="5">
        <v>22</v>
      </c>
      <c r="P29" s="5">
        <v>21</v>
      </c>
      <c r="Q29" s="5">
        <v>22</v>
      </c>
      <c r="R29" s="5">
        <v>22</v>
      </c>
      <c r="S29" s="5">
        <v>22</v>
      </c>
      <c r="T29" s="5">
        <v>22</v>
      </c>
      <c r="U29" s="5">
        <v>22</v>
      </c>
      <c r="V29" s="5">
        <v>22</v>
      </c>
    </row>
    <row r="30" spans="1:22" x14ac:dyDescent="0.2">
      <c r="A30" s="2" t="s">
        <v>67</v>
      </c>
      <c r="B30" s="2" t="s">
        <v>68</v>
      </c>
      <c r="C30" s="5">
        <v>22</v>
      </c>
      <c r="D30" s="3">
        <v>58374.710493597733</v>
      </c>
      <c r="E30" s="3">
        <v>1.662239824022566</v>
      </c>
      <c r="F30" s="3">
        <v>7.3356676968661212</v>
      </c>
      <c r="G30" s="3">
        <v>49.136363636363633</v>
      </c>
      <c r="H30" s="4">
        <v>320642.18181818182</v>
      </c>
      <c r="I30" s="3">
        <v>2.4251921052631582</v>
      </c>
      <c r="J30" s="3">
        <v>82.593927189781311</v>
      </c>
      <c r="K30" s="3">
        <v>79.24049333142348</v>
      </c>
      <c r="L30" s="3">
        <v>80.346246848739497</v>
      </c>
      <c r="M30" s="3">
        <v>80.791794864612513</v>
      </c>
      <c r="N30" s="3">
        <v>0.4455480158730154</v>
      </c>
      <c r="O30" s="5">
        <v>22</v>
      </c>
      <c r="P30" s="5">
        <v>21</v>
      </c>
      <c r="Q30" s="5">
        <v>22</v>
      </c>
      <c r="R30" s="5">
        <v>22</v>
      </c>
      <c r="S30" s="5">
        <v>22</v>
      </c>
      <c r="T30" s="5">
        <v>19</v>
      </c>
      <c r="U30" s="5">
        <v>22</v>
      </c>
      <c r="V30" s="5">
        <v>22</v>
      </c>
    </row>
    <row r="31" spans="1:22" x14ac:dyDescent="0.2">
      <c r="A31" s="2" t="s">
        <v>69</v>
      </c>
      <c r="B31" s="2" t="s">
        <v>70</v>
      </c>
      <c r="C31" s="5">
        <v>22</v>
      </c>
      <c r="D31" s="3">
        <v>5347.4985337136286</v>
      </c>
      <c r="E31" s="3">
        <v>-2.4889104090453648E-3</v>
      </c>
      <c r="F31" s="3">
        <v>3.8635233577620882</v>
      </c>
      <c r="G31" s="3">
        <v>10043.31818181818</v>
      </c>
      <c r="H31" s="4">
        <v>1247342183.636364</v>
      </c>
      <c r="I31" s="3">
        <v>0.73857428571428563</v>
      </c>
      <c r="J31" s="3">
        <v>42.565599505015832</v>
      </c>
      <c r="K31" s="3">
        <v>58.495794382904677</v>
      </c>
      <c r="L31" s="3">
        <v>65.669412931839389</v>
      </c>
      <c r="M31" s="3">
        <v>66.954602497665732</v>
      </c>
      <c r="N31" s="3">
        <v>1.285189565826343</v>
      </c>
      <c r="O31" s="5">
        <v>22</v>
      </c>
      <c r="P31" s="5">
        <v>21</v>
      </c>
      <c r="Q31" s="5">
        <v>18</v>
      </c>
      <c r="R31" s="5">
        <v>22</v>
      </c>
      <c r="S31" s="5">
        <v>22</v>
      </c>
      <c r="T31" s="5">
        <v>21</v>
      </c>
      <c r="U31" s="5">
        <v>22</v>
      </c>
      <c r="V31" s="5">
        <v>22</v>
      </c>
    </row>
    <row r="32" spans="1:22" x14ac:dyDescent="0.2">
      <c r="A32" s="2" t="s">
        <v>71</v>
      </c>
      <c r="B32" s="2" t="s">
        <v>72</v>
      </c>
      <c r="C32" s="5">
        <v>22</v>
      </c>
      <c r="D32" s="3">
        <v>9257.2434594892966</v>
      </c>
      <c r="E32" s="3">
        <v>-0.21132128942935249</v>
      </c>
      <c r="F32" s="3">
        <v>2.466330177719251</v>
      </c>
      <c r="G32" s="3">
        <v>794.33333333333337</v>
      </c>
      <c r="H32" s="4">
        <v>247567892.27272731</v>
      </c>
      <c r="I32" s="3">
        <v>0.17166222222222219</v>
      </c>
      <c r="J32" s="3">
        <v>50.409563652537372</v>
      </c>
      <c r="K32" s="3">
        <v>63.680775461548258</v>
      </c>
      <c r="L32" s="3">
        <v>69.510795168067219</v>
      </c>
      <c r="M32" s="3">
        <v>70.218873716153112</v>
      </c>
      <c r="N32" s="3">
        <v>0.70807854808589354</v>
      </c>
      <c r="O32" s="5">
        <v>22</v>
      </c>
      <c r="P32" s="5">
        <v>21</v>
      </c>
      <c r="Q32" s="5">
        <v>20</v>
      </c>
      <c r="R32" s="5">
        <v>21</v>
      </c>
      <c r="S32" s="5">
        <v>22</v>
      </c>
      <c r="T32" s="5">
        <v>9</v>
      </c>
      <c r="U32" s="5">
        <v>22</v>
      </c>
      <c r="V32" s="5">
        <v>22</v>
      </c>
    </row>
    <row r="33" spans="1:22" x14ac:dyDescent="0.2">
      <c r="A33" s="2" t="s">
        <v>73</v>
      </c>
      <c r="B33" s="2" t="s">
        <v>74</v>
      </c>
      <c r="C33" s="5">
        <v>22</v>
      </c>
      <c r="D33" s="3">
        <v>14644.03542492741</v>
      </c>
      <c r="E33" s="3">
        <v>-0.55424453743866531</v>
      </c>
      <c r="F33" s="3">
        <v>3.6607923961821052</v>
      </c>
      <c r="G33" s="3">
        <v>8928.7619047619046</v>
      </c>
      <c r="H33" s="4">
        <v>77754644.909090906</v>
      </c>
      <c r="I33" s="3">
        <v>0.51077399999999995</v>
      </c>
      <c r="J33" s="3">
        <v>46.232711008867327</v>
      </c>
      <c r="K33" s="3">
        <v>65.209345658263302</v>
      </c>
      <c r="L33" s="3">
        <v>69.341351283846862</v>
      </c>
      <c r="M33" s="3">
        <v>69.55890011671336</v>
      </c>
      <c r="N33" s="3">
        <v>0.21754883286649829</v>
      </c>
      <c r="O33" s="5">
        <v>22</v>
      </c>
      <c r="P33" s="5">
        <v>21</v>
      </c>
      <c r="Q33" s="5">
        <v>21</v>
      </c>
      <c r="R33" s="5">
        <v>21</v>
      </c>
      <c r="S33" s="5">
        <v>22</v>
      </c>
      <c r="T33" s="5">
        <v>15</v>
      </c>
      <c r="U33" s="5">
        <v>22</v>
      </c>
      <c r="V33" s="5">
        <v>22</v>
      </c>
    </row>
    <row r="34" spans="1:22" x14ac:dyDescent="0.2">
      <c r="A34" s="2" t="s">
        <v>75</v>
      </c>
      <c r="B34" s="2" t="s">
        <v>76</v>
      </c>
      <c r="C34" s="5">
        <v>22</v>
      </c>
      <c r="D34" s="3">
        <v>71203.154526814178</v>
      </c>
      <c r="E34" s="3">
        <v>1.4718453827358431</v>
      </c>
      <c r="F34" s="3">
        <v>4.4179263331673368</v>
      </c>
      <c r="G34" s="3">
        <v>70.833333333333329</v>
      </c>
      <c r="H34" s="4">
        <v>4493898.8636363633</v>
      </c>
      <c r="I34" s="3">
        <v>1.274843636363636</v>
      </c>
      <c r="J34" s="3">
        <v>192.5526577185787</v>
      </c>
      <c r="K34" s="3">
        <v>76.612049086163395</v>
      </c>
      <c r="L34" s="3">
        <v>78.154383672863105</v>
      </c>
      <c r="M34" s="3">
        <v>78.589964041677263</v>
      </c>
      <c r="N34" s="3">
        <v>0.43558036881415768</v>
      </c>
      <c r="O34" s="5">
        <v>22</v>
      </c>
      <c r="P34" s="5">
        <v>21</v>
      </c>
      <c r="Q34" s="5">
        <v>22</v>
      </c>
      <c r="R34" s="5">
        <v>6</v>
      </c>
      <c r="S34" s="5">
        <v>22</v>
      </c>
      <c r="T34" s="5">
        <v>22</v>
      </c>
      <c r="U34" s="5">
        <v>22</v>
      </c>
      <c r="V34" s="5">
        <v>22</v>
      </c>
    </row>
    <row r="35" spans="1:22" x14ac:dyDescent="0.2">
      <c r="A35" s="2" t="s">
        <v>77</v>
      </c>
      <c r="B35" s="2" t="s">
        <v>78</v>
      </c>
      <c r="C35" s="5">
        <v>22</v>
      </c>
      <c r="D35" s="3">
        <v>38205.474949024698</v>
      </c>
      <c r="E35" s="3">
        <v>1.2285537379128599</v>
      </c>
      <c r="F35" s="3">
        <v>5.8200786330483174</v>
      </c>
      <c r="G35" s="3">
        <v>1411.727272727273</v>
      </c>
      <c r="H35" s="4">
        <v>7749672.7272727285</v>
      </c>
      <c r="I35" s="3">
        <v>4.3456390909090912</v>
      </c>
      <c r="J35" s="3">
        <v>65.227511490758147</v>
      </c>
      <c r="K35" s="3">
        <v>71.755273040848039</v>
      </c>
      <c r="L35" s="3">
        <v>74.479993783667297</v>
      </c>
      <c r="M35" s="3">
        <v>74.458852174459551</v>
      </c>
      <c r="N35" s="3">
        <v>-2.114160920774566E-2</v>
      </c>
      <c r="O35" s="5">
        <v>22</v>
      </c>
      <c r="P35" s="5">
        <v>21</v>
      </c>
      <c r="Q35" s="5">
        <v>22</v>
      </c>
      <c r="R35" s="5">
        <v>22</v>
      </c>
      <c r="S35" s="5">
        <v>22</v>
      </c>
      <c r="T35" s="5">
        <v>22</v>
      </c>
      <c r="U35" s="5">
        <v>22</v>
      </c>
      <c r="V35" s="5">
        <v>22</v>
      </c>
    </row>
    <row r="36" spans="1:22" x14ac:dyDescent="0.2">
      <c r="A36" s="2" t="s">
        <v>79</v>
      </c>
      <c r="B36" s="2" t="s">
        <v>80</v>
      </c>
      <c r="C36" s="5">
        <v>22</v>
      </c>
      <c r="D36" s="3">
        <v>49610.306522022329</v>
      </c>
      <c r="E36" s="3">
        <v>0.47799112399419158</v>
      </c>
      <c r="F36" s="3">
        <v>4.2413458932529799</v>
      </c>
      <c r="G36" s="3">
        <v>8902.3333333333339</v>
      </c>
      <c r="H36" s="4">
        <v>59081470.863636367</v>
      </c>
      <c r="I36" s="3">
        <v>1.2311427272727271</v>
      </c>
      <c r="J36" s="3">
        <v>53.030376780023722</v>
      </c>
      <c r="K36" s="3">
        <v>76.534426527594505</v>
      </c>
      <c r="L36" s="3">
        <v>79.877581943383419</v>
      </c>
      <c r="M36" s="3">
        <v>80.260133471267295</v>
      </c>
      <c r="N36" s="3">
        <v>0.38255152788387647</v>
      </c>
      <c r="O36" s="5">
        <v>22</v>
      </c>
      <c r="P36" s="5">
        <v>21</v>
      </c>
      <c r="Q36" s="5">
        <v>22</v>
      </c>
      <c r="R36" s="5">
        <v>15</v>
      </c>
      <c r="S36" s="5">
        <v>22</v>
      </c>
      <c r="T36" s="5">
        <v>22</v>
      </c>
      <c r="U36" s="5">
        <v>22</v>
      </c>
      <c r="V36" s="5">
        <v>22</v>
      </c>
    </row>
    <row r="37" spans="1:22" x14ac:dyDescent="0.2">
      <c r="A37" s="2" t="s">
        <v>81</v>
      </c>
      <c r="B37" s="2" t="s">
        <v>82</v>
      </c>
      <c r="C37" s="5">
        <v>22</v>
      </c>
      <c r="D37" s="3">
        <v>41812.466485017423</v>
      </c>
      <c r="E37" s="3">
        <v>1.471294215747289</v>
      </c>
      <c r="F37" s="3">
        <v>3.3437456971123098</v>
      </c>
      <c r="G37" s="3">
        <v>303394.22727272729</v>
      </c>
      <c r="H37" s="4">
        <v>127340117.8636364</v>
      </c>
      <c r="I37" s="3">
        <v>3.1583709090909089</v>
      </c>
      <c r="J37" s="3">
        <v>29.717161351050851</v>
      </c>
      <c r="K37" s="3">
        <v>78.206784157190114</v>
      </c>
      <c r="L37" s="3">
        <v>80.060892330382018</v>
      </c>
      <c r="M37" s="3">
        <v>80.661850830705248</v>
      </c>
      <c r="N37" s="3">
        <v>0.60095850032323028</v>
      </c>
      <c r="O37" s="5">
        <v>22</v>
      </c>
      <c r="P37" s="5">
        <v>21</v>
      </c>
      <c r="Q37" s="5">
        <v>21</v>
      </c>
      <c r="R37" s="5">
        <v>22</v>
      </c>
      <c r="S37" s="5">
        <v>22</v>
      </c>
      <c r="T37" s="5">
        <v>22</v>
      </c>
      <c r="U37" s="5">
        <v>22</v>
      </c>
      <c r="V37" s="5">
        <v>22</v>
      </c>
    </row>
    <row r="38" spans="1:22" x14ac:dyDescent="0.2">
      <c r="A38" s="2" t="s">
        <v>83</v>
      </c>
      <c r="B38" s="2" t="s">
        <v>84</v>
      </c>
      <c r="C38" s="5">
        <v>22</v>
      </c>
      <c r="D38" s="3">
        <v>25688.94868588238</v>
      </c>
      <c r="E38" s="3">
        <v>-0.40940834457675601</v>
      </c>
      <c r="F38" s="3">
        <v>3.135722400093758</v>
      </c>
      <c r="G38" s="3">
        <v>1432.6315789473681</v>
      </c>
      <c r="H38" s="4">
        <v>17216167.90909091</v>
      </c>
      <c r="I38" s="3">
        <v>0.18537454545454549</v>
      </c>
      <c r="J38" s="3">
        <v>77.159970486468936</v>
      </c>
      <c r="K38" s="3">
        <v>68.015639099702383</v>
      </c>
      <c r="L38" s="3">
        <v>71.373615624999985</v>
      </c>
      <c r="M38" s="3">
        <v>71.517850931584761</v>
      </c>
      <c r="N38" s="3">
        <v>0.14423530658477551</v>
      </c>
      <c r="O38" s="5">
        <v>22</v>
      </c>
      <c r="P38" s="5">
        <v>21</v>
      </c>
      <c r="Q38" s="5">
        <v>20</v>
      </c>
      <c r="R38" s="5">
        <v>19</v>
      </c>
      <c r="S38" s="5">
        <v>22</v>
      </c>
      <c r="T38" s="5">
        <v>22</v>
      </c>
      <c r="U38" s="5">
        <v>22</v>
      </c>
      <c r="V38" s="5">
        <v>22</v>
      </c>
    </row>
    <row r="39" spans="1:22" x14ac:dyDescent="0.2">
      <c r="A39" s="2" t="s">
        <v>85</v>
      </c>
      <c r="B39" s="2" t="s">
        <v>86</v>
      </c>
      <c r="C39" s="5">
        <v>22</v>
      </c>
      <c r="D39" s="3">
        <v>4335.0783333539821</v>
      </c>
      <c r="E39" s="3">
        <v>-0.53891264540808548</v>
      </c>
      <c r="F39" s="3">
        <v>5.4348475122871323</v>
      </c>
      <c r="G39" s="3">
        <v>117.6</v>
      </c>
      <c r="H39" s="4">
        <v>42007527.454545453</v>
      </c>
      <c r="I39" s="3">
        <v>0.52371499999999993</v>
      </c>
      <c r="J39" s="3">
        <v>47.817724246444897</v>
      </c>
      <c r="K39" s="3">
        <v>55.924861482471783</v>
      </c>
      <c r="L39" s="3">
        <v>60.783007236227817</v>
      </c>
      <c r="M39" s="3">
        <v>61.928932492997177</v>
      </c>
      <c r="N39" s="3">
        <v>1.1459252567693601</v>
      </c>
      <c r="O39" s="5">
        <v>22</v>
      </c>
      <c r="P39" s="5">
        <v>21</v>
      </c>
      <c r="Q39" s="5">
        <v>19</v>
      </c>
      <c r="R39" s="5">
        <v>20</v>
      </c>
      <c r="S39" s="5">
        <v>22</v>
      </c>
      <c r="T39" s="5">
        <v>2</v>
      </c>
      <c r="U39" s="5">
        <v>22</v>
      </c>
      <c r="V39" s="5">
        <v>22</v>
      </c>
    </row>
    <row r="40" spans="1:22" x14ac:dyDescent="0.2">
      <c r="A40" s="2" t="s">
        <v>87</v>
      </c>
      <c r="B40" s="2" t="s">
        <v>88</v>
      </c>
      <c r="C40" s="5">
        <v>22</v>
      </c>
      <c r="D40" s="3">
        <v>39514.322095015203</v>
      </c>
      <c r="E40" s="3">
        <v>1.0379194759187229</v>
      </c>
      <c r="F40" s="3">
        <v>4.5609013693673273</v>
      </c>
      <c r="G40" s="3">
        <v>135553.09090909091</v>
      </c>
      <c r="H40" s="4">
        <v>49685607.636363633</v>
      </c>
      <c r="I40" s="3">
        <v>3.4306745454545449</v>
      </c>
      <c r="J40" s="3">
        <v>75.790754602481456</v>
      </c>
      <c r="K40" s="3">
        <v>75.312239233642174</v>
      </c>
      <c r="L40" s="3">
        <v>77.70944668354521</v>
      </c>
      <c r="M40" s="3">
        <v>78.11618382532501</v>
      </c>
      <c r="N40" s="3">
        <v>0.40673714177980003</v>
      </c>
      <c r="O40" s="5">
        <v>22</v>
      </c>
      <c r="P40" s="5">
        <v>21</v>
      </c>
      <c r="Q40" s="5">
        <v>7</v>
      </c>
      <c r="R40" s="5">
        <v>22</v>
      </c>
      <c r="S40" s="5">
        <v>22</v>
      </c>
      <c r="T40" s="5">
        <v>22</v>
      </c>
      <c r="U40" s="5">
        <v>22</v>
      </c>
      <c r="V40" s="5">
        <v>22</v>
      </c>
    </row>
    <row r="41" spans="1:22" x14ac:dyDescent="0.2">
      <c r="A41" s="2" t="s">
        <v>89</v>
      </c>
      <c r="B41" s="2" t="s">
        <v>90</v>
      </c>
      <c r="C41" s="5">
        <v>22</v>
      </c>
      <c r="D41" s="3">
        <v>4936.1478985542826</v>
      </c>
      <c r="E41" s="3">
        <v>-0.7292909976981935</v>
      </c>
      <c r="F41" s="3">
        <v>5.5626617670059213</v>
      </c>
      <c r="G41" s="3">
        <v>116.3333333333333</v>
      </c>
      <c r="H41" s="4">
        <v>5673765</v>
      </c>
      <c r="I41" s="3">
        <v>0.15419045454545449</v>
      </c>
      <c r="J41" s="3">
        <v>109.746744599153</v>
      </c>
      <c r="K41" s="3">
        <v>69.895955115891056</v>
      </c>
      <c r="L41" s="3">
        <v>74.214399751984118</v>
      </c>
      <c r="M41" s="3">
        <v>74.503562789661302</v>
      </c>
      <c r="N41" s="3">
        <v>0.28916303767718432</v>
      </c>
      <c r="O41" s="5">
        <v>22</v>
      </c>
      <c r="P41" s="5">
        <v>21</v>
      </c>
      <c r="Q41" s="5">
        <v>22</v>
      </c>
      <c r="R41" s="5">
        <v>18</v>
      </c>
      <c r="S41" s="5">
        <v>22</v>
      </c>
      <c r="T41" s="5">
        <v>22</v>
      </c>
      <c r="U41" s="5">
        <v>22</v>
      </c>
      <c r="V41" s="5">
        <v>22</v>
      </c>
    </row>
    <row r="42" spans="1:22" x14ac:dyDescent="0.2">
      <c r="A42" s="2" t="s">
        <v>91</v>
      </c>
      <c r="B42" s="2" t="s">
        <v>92</v>
      </c>
      <c r="C42" s="5">
        <v>22</v>
      </c>
      <c r="D42" s="3">
        <v>26812.694806636649</v>
      </c>
      <c r="E42" s="3">
        <v>0.72911859055360129</v>
      </c>
      <c r="F42" s="3">
        <v>5.3221181006658629</v>
      </c>
      <c r="G42" s="3">
        <v>133.31818181818181</v>
      </c>
      <c r="H42" s="4">
        <v>2102077.3181818179</v>
      </c>
      <c r="I42" s="3">
        <v>0.56202090909090907</v>
      </c>
      <c r="J42" s="3">
        <v>112.06521548712141</v>
      </c>
      <c r="K42" s="3">
        <v>77.542071422591079</v>
      </c>
      <c r="L42" s="3">
        <v>80.690937388591792</v>
      </c>
      <c r="M42" s="3">
        <v>81.191025447754868</v>
      </c>
      <c r="N42" s="3">
        <v>0.50008805916307608</v>
      </c>
      <c r="O42" s="5">
        <v>22</v>
      </c>
      <c r="P42" s="5">
        <v>21</v>
      </c>
      <c r="Q42" s="5">
        <v>21</v>
      </c>
      <c r="R42" s="5">
        <v>22</v>
      </c>
      <c r="S42" s="5">
        <v>22</v>
      </c>
      <c r="T42" s="5">
        <v>22</v>
      </c>
      <c r="U42" s="5">
        <v>22</v>
      </c>
      <c r="V42" s="5">
        <v>22</v>
      </c>
    </row>
    <row r="43" spans="1:22" x14ac:dyDescent="0.2">
      <c r="A43" s="2" t="s">
        <v>93</v>
      </c>
      <c r="B43" s="2" t="s">
        <v>94</v>
      </c>
      <c r="C43" s="5">
        <v>22</v>
      </c>
      <c r="D43" s="3">
        <v>30290.412525210351</v>
      </c>
      <c r="E43" s="3">
        <v>0.79255735838697106</v>
      </c>
      <c r="F43" s="3">
        <v>4.7420047691890179</v>
      </c>
      <c r="G43" s="3">
        <v>86.36363636363636</v>
      </c>
      <c r="H43" s="4">
        <v>3103806.2272727271</v>
      </c>
      <c r="I43" s="3">
        <v>0.85429863636363634</v>
      </c>
      <c r="J43" s="3">
        <v>127.7793528621232</v>
      </c>
      <c r="K43" s="3">
        <v>75.282893512184486</v>
      </c>
      <c r="L43" s="3">
        <v>77.690405595874722</v>
      </c>
      <c r="M43" s="3">
        <v>78.808598198370262</v>
      </c>
      <c r="N43" s="3">
        <v>1.11819260249554</v>
      </c>
      <c r="O43" s="5">
        <v>22</v>
      </c>
      <c r="P43" s="5">
        <v>21</v>
      </c>
      <c r="Q43" s="5">
        <v>21</v>
      </c>
      <c r="R43" s="5">
        <v>22</v>
      </c>
      <c r="S43" s="5">
        <v>22</v>
      </c>
      <c r="T43" s="5">
        <v>22</v>
      </c>
      <c r="U43" s="5">
        <v>22</v>
      </c>
      <c r="V43" s="5">
        <v>22</v>
      </c>
    </row>
    <row r="44" spans="1:22" x14ac:dyDescent="0.2">
      <c r="A44" s="2" t="s">
        <v>95</v>
      </c>
      <c r="B44" s="2" t="s">
        <v>96</v>
      </c>
      <c r="C44" s="5">
        <v>22</v>
      </c>
      <c r="D44" s="3">
        <v>128606.8053343005</v>
      </c>
      <c r="E44" s="3">
        <v>1.7225171554656249</v>
      </c>
      <c r="F44" s="3">
        <v>3.7221700085533969</v>
      </c>
      <c r="G44" s="3">
        <v>83.63636363636364</v>
      </c>
      <c r="H44" s="4">
        <v>524557.22727272729</v>
      </c>
      <c r="I44" s="3">
        <v>1.3731774999999999</v>
      </c>
      <c r="J44" s="3">
        <v>313.4714962445417</v>
      </c>
      <c r="K44" s="3">
        <v>73.455531715183497</v>
      </c>
      <c r="L44" s="3">
        <v>76.712427272727268</v>
      </c>
      <c r="M44" s="3">
        <v>76.72567524722011</v>
      </c>
      <c r="N44" s="3">
        <v>1.324797449284176E-2</v>
      </c>
      <c r="O44" s="5">
        <v>22</v>
      </c>
      <c r="P44" s="5">
        <v>21</v>
      </c>
      <c r="Q44" s="5">
        <v>9</v>
      </c>
      <c r="R44" s="5">
        <v>22</v>
      </c>
      <c r="S44" s="5">
        <v>22</v>
      </c>
      <c r="T44" s="5">
        <v>20</v>
      </c>
      <c r="U44" s="5">
        <v>22</v>
      </c>
      <c r="V44" s="5">
        <v>22</v>
      </c>
    </row>
    <row r="45" spans="1:22" x14ac:dyDescent="0.2">
      <c r="A45" s="2" t="s">
        <v>97</v>
      </c>
      <c r="B45" s="2" t="s">
        <v>98</v>
      </c>
      <c r="C45" s="5">
        <v>22</v>
      </c>
      <c r="D45" s="3">
        <v>1646.818649119502</v>
      </c>
      <c r="E45" s="3">
        <v>-0.89914746085802699</v>
      </c>
      <c r="F45" s="3">
        <v>2.6500831329583421</v>
      </c>
      <c r="G45" s="3">
        <v>6.45</v>
      </c>
      <c r="H45" s="4">
        <v>22703356.13636364</v>
      </c>
      <c r="I45" s="3">
        <v>0.123776</v>
      </c>
      <c r="J45" s="3">
        <v>56.769055635059622</v>
      </c>
      <c r="K45" s="3">
        <v>48.080864294039287</v>
      </c>
      <c r="L45" s="3">
        <v>51.212910838181443</v>
      </c>
      <c r="M45" s="3">
        <v>51.048877847805777</v>
      </c>
      <c r="N45" s="3">
        <v>-0.16403299037566649</v>
      </c>
      <c r="O45" s="5">
        <v>22</v>
      </c>
      <c r="P45" s="5">
        <v>21</v>
      </c>
      <c r="Q45" s="5">
        <v>22</v>
      </c>
      <c r="R45" s="5">
        <v>20</v>
      </c>
      <c r="S45" s="5">
        <v>22</v>
      </c>
      <c r="T45" s="5">
        <v>15</v>
      </c>
      <c r="U45" s="5">
        <v>22</v>
      </c>
      <c r="V45" s="5">
        <v>22</v>
      </c>
    </row>
    <row r="46" spans="1:22" x14ac:dyDescent="0.2">
      <c r="A46" s="2" t="s">
        <v>99</v>
      </c>
      <c r="B46" s="2" t="s">
        <v>100</v>
      </c>
      <c r="C46" s="5">
        <v>22</v>
      </c>
      <c r="D46" s="3">
        <v>24358.764476023978</v>
      </c>
      <c r="E46" s="3">
        <v>1.001899804387774</v>
      </c>
      <c r="F46" s="3">
        <v>5.3154954720872292</v>
      </c>
      <c r="G46" s="3">
        <v>865.9545454545455</v>
      </c>
      <c r="H46" s="4">
        <v>28806050.27272727</v>
      </c>
      <c r="I46" s="3">
        <v>0.94580999999999993</v>
      </c>
      <c r="J46" s="3">
        <v>163.78448604895149</v>
      </c>
      <c r="K46" s="3">
        <v>65.292386962057549</v>
      </c>
      <c r="L46" s="3">
        <v>68.266482002801126</v>
      </c>
      <c r="M46" s="3">
        <v>69.520162254901948</v>
      </c>
      <c r="N46" s="3">
        <v>1.253680252100821</v>
      </c>
      <c r="O46" s="5">
        <v>22</v>
      </c>
      <c r="P46" s="5">
        <v>21</v>
      </c>
      <c r="Q46" s="5">
        <v>21</v>
      </c>
      <c r="R46" s="5">
        <v>22</v>
      </c>
      <c r="S46" s="5">
        <v>22</v>
      </c>
      <c r="T46" s="5">
        <v>14</v>
      </c>
      <c r="U46" s="5">
        <v>22</v>
      </c>
      <c r="V46" s="5">
        <v>22</v>
      </c>
    </row>
    <row r="47" spans="1:22" x14ac:dyDescent="0.2">
      <c r="A47" s="2" t="s">
        <v>101</v>
      </c>
      <c r="B47" s="2" t="s">
        <v>102</v>
      </c>
      <c r="C47" s="5">
        <v>22</v>
      </c>
      <c r="D47" s="3">
        <v>40325.014037608598</v>
      </c>
      <c r="E47" s="3">
        <v>1.020929949624197</v>
      </c>
      <c r="F47" s="3">
        <v>5.5534760475158702</v>
      </c>
      <c r="G47" s="3">
        <v>10.444444444444439</v>
      </c>
      <c r="H47" s="4">
        <v>432410.77272727271</v>
      </c>
      <c r="I47" s="3">
        <v>0.5704745</v>
      </c>
      <c r="J47" s="3">
        <v>190.61551996192679</v>
      </c>
      <c r="K47" s="3">
        <v>74.429972071555895</v>
      </c>
      <c r="L47" s="3">
        <v>77.933704668534062</v>
      </c>
      <c r="M47" s="3">
        <v>79.285931792717093</v>
      </c>
      <c r="N47" s="3">
        <v>1.352227124183031</v>
      </c>
      <c r="O47" s="5">
        <v>22</v>
      </c>
      <c r="P47" s="5">
        <v>21</v>
      </c>
      <c r="Q47" s="5">
        <v>15</v>
      </c>
      <c r="R47" s="5">
        <v>18</v>
      </c>
      <c r="S47" s="5">
        <v>22</v>
      </c>
      <c r="T47" s="5">
        <v>20</v>
      </c>
      <c r="U47" s="5">
        <v>22</v>
      </c>
      <c r="V47" s="5">
        <v>22</v>
      </c>
    </row>
    <row r="48" spans="1:22" x14ac:dyDescent="0.2">
      <c r="A48" s="2" t="s">
        <v>103</v>
      </c>
      <c r="B48" s="2" t="s">
        <v>104</v>
      </c>
      <c r="C48" s="5">
        <v>22</v>
      </c>
      <c r="D48" s="3">
        <v>20686.9738706303</v>
      </c>
      <c r="E48" s="3">
        <v>5.57272755319164E-2</v>
      </c>
      <c r="F48" s="3">
        <v>4.5702100481305798</v>
      </c>
      <c r="G48" s="3">
        <v>940.9545454545455</v>
      </c>
      <c r="H48" s="4">
        <v>113962750.4545455</v>
      </c>
      <c r="I48" s="3">
        <v>0.36753318181818179</v>
      </c>
      <c r="J48" s="3">
        <v>62.136335109630792</v>
      </c>
      <c r="K48" s="3">
        <v>65.716336985496682</v>
      </c>
      <c r="L48" s="3">
        <v>69.499782072829134</v>
      </c>
      <c r="M48" s="3">
        <v>70.798305742296918</v>
      </c>
      <c r="N48" s="3">
        <v>1.298523669467784</v>
      </c>
      <c r="O48" s="5">
        <v>22</v>
      </c>
      <c r="P48" s="5">
        <v>21</v>
      </c>
      <c r="Q48" s="5">
        <v>21</v>
      </c>
      <c r="R48" s="5">
        <v>22</v>
      </c>
      <c r="S48" s="5">
        <v>22</v>
      </c>
      <c r="T48" s="5">
        <v>22</v>
      </c>
      <c r="U48" s="5">
        <v>22</v>
      </c>
      <c r="V48" s="5">
        <v>22</v>
      </c>
    </row>
    <row r="49" spans="1:22" x14ac:dyDescent="0.2">
      <c r="A49" s="2" t="s">
        <v>105</v>
      </c>
      <c r="B49" s="2" t="s">
        <v>106</v>
      </c>
      <c r="C49" s="5">
        <v>22</v>
      </c>
      <c r="D49" s="3">
        <v>10220.718604550249</v>
      </c>
      <c r="E49" s="3">
        <v>-0.61532247066497803</v>
      </c>
      <c r="F49" s="3">
        <v>6.5012699898317106</v>
      </c>
      <c r="G49" s="3">
        <v>179.22727272727269</v>
      </c>
      <c r="H49" s="4">
        <v>2828598.8636363642</v>
      </c>
      <c r="I49" s="3">
        <v>0.34521210526315788</v>
      </c>
      <c r="J49" s="3">
        <v>109.23319700287431</v>
      </c>
      <c r="K49" s="3">
        <v>73.520244764610396</v>
      </c>
      <c r="L49" s="3">
        <v>79.082358928571409</v>
      </c>
      <c r="M49" s="3">
        <v>78.765586249045086</v>
      </c>
      <c r="N49" s="3">
        <v>-0.31677267952632349</v>
      </c>
      <c r="O49" s="5">
        <v>22</v>
      </c>
      <c r="P49" s="5">
        <v>21</v>
      </c>
      <c r="Q49" s="5">
        <v>22</v>
      </c>
      <c r="R49" s="5">
        <v>22</v>
      </c>
      <c r="S49" s="5">
        <v>22</v>
      </c>
      <c r="T49" s="5">
        <v>19</v>
      </c>
      <c r="U49" s="5">
        <v>22</v>
      </c>
      <c r="V49" s="5">
        <v>22</v>
      </c>
    </row>
    <row r="50" spans="1:22" x14ac:dyDescent="0.2">
      <c r="A50" s="2" t="s">
        <v>107</v>
      </c>
      <c r="B50" s="2" t="s">
        <v>108</v>
      </c>
      <c r="C50" s="5">
        <v>22</v>
      </c>
      <c r="D50" s="3">
        <v>10761.183157786551</v>
      </c>
      <c r="E50" s="3">
        <v>-0.40886206215336213</v>
      </c>
      <c r="F50" s="3">
        <v>4.9617315805875348</v>
      </c>
      <c r="G50" s="3">
        <v>110.8235294117647</v>
      </c>
      <c r="H50" s="4">
        <v>2816446.1818181821</v>
      </c>
      <c r="I50" s="3">
        <v>0.20938227272727281</v>
      </c>
      <c r="J50" s="3">
        <v>114.9526174610947</v>
      </c>
      <c r="K50" s="3">
        <v>63.197145597205832</v>
      </c>
      <c r="L50" s="3">
        <v>66.094866734307374</v>
      </c>
      <c r="M50" s="3">
        <v>66.749046867838047</v>
      </c>
      <c r="N50" s="3">
        <v>0.65418013353067295</v>
      </c>
      <c r="O50" s="5">
        <v>22</v>
      </c>
      <c r="P50" s="5">
        <v>21</v>
      </c>
      <c r="Q50" s="5">
        <v>13</v>
      </c>
      <c r="R50" s="5">
        <v>17</v>
      </c>
      <c r="S50" s="5">
        <v>22</v>
      </c>
      <c r="T50" s="5">
        <v>22</v>
      </c>
      <c r="U50" s="5">
        <v>22</v>
      </c>
      <c r="V50" s="5">
        <v>22</v>
      </c>
    </row>
    <row r="51" spans="1:22" x14ac:dyDescent="0.2">
      <c r="A51" s="2" t="s">
        <v>109</v>
      </c>
      <c r="B51" s="2" t="s">
        <v>110</v>
      </c>
      <c r="C51" s="5">
        <v>22</v>
      </c>
      <c r="D51" s="3">
        <v>61783.542089434683</v>
      </c>
      <c r="E51" s="3">
        <v>1.831175929024105</v>
      </c>
      <c r="F51" s="3">
        <v>5.1519927111538966</v>
      </c>
      <c r="G51" s="3">
        <v>2276.5</v>
      </c>
      <c r="H51" s="4">
        <v>16683490.63636364</v>
      </c>
      <c r="I51" s="3">
        <v>1.9362559090909091</v>
      </c>
      <c r="J51" s="3">
        <v>138.40125733091759</v>
      </c>
      <c r="K51" s="3">
        <v>77.741634782775165</v>
      </c>
      <c r="L51" s="3">
        <v>79.539145056903905</v>
      </c>
      <c r="M51" s="3">
        <v>79.981429837482779</v>
      </c>
      <c r="N51" s="3">
        <v>0.44228478057887338</v>
      </c>
      <c r="O51" s="5">
        <v>22</v>
      </c>
      <c r="P51" s="5">
        <v>21</v>
      </c>
      <c r="Q51" s="5">
        <v>22</v>
      </c>
      <c r="R51" s="5">
        <v>22</v>
      </c>
      <c r="S51" s="5">
        <v>22</v>
      </c>
      <c r="T51" s="5">
        <v>22</v>
      </c>
      <c r="U51" s="5">
        <v>22</v>
      </c>
      <c r="V51" s="5">
        <v>22</v>
      </c>
    </row>
    <row r="52" spans="1:22" x14ac:dyDescent="0.2">
      <c r="A52" s="2" t="s">
        <v>111</v>
      </c>
      <c r="B52" s="2" t="s">
        <v>112</v>
      </c>
      <c r="C52" s="5">
        <v>22</v>
      </c>
      <c r="D52" s="3">
        <v>84216.482507878507</v>
      </c>
      <c r="E52" s="3">
        <v>1.868365077745348</v>
      </c>
      <c r="F52" s="3">
        <v>7.1857913840900771</v>
      </c>
      <c r="G52" s="3">
        <v>1119.727272727273</v>
      </c>
      <c r="H52" s="4">
        <v>4932507.7272727285</v>
      </c>
      <c r="I52" s="3">
        <v>1.7478499999999999</v>
      </c>
      <c r="J52" s="3">
        <v>69.812804956858002</v>
      </c>
      <c r="K52" s="3">
        <v>80.887872769201991</v>
      </c>
      <c r="L52" s="3">
        <v>82.33344372686139</v>
      </c>
      <c r="M52" s="3">
        <v>82.720585497998741</v>
      </c>
      <c r="N52" s="3">
        <v>0.38714177113735099</v>
      </c>
      <c r="O52" s="5">
        <v>22</v>
      </c>
      <c r="P52" s="5">
        <v>21</v>
      </c>
      <c r="Q52" s="5">
        <v>22</v>
      </c>
      <c r="R52" s="5">
        <v>22</v>
      </c>
      <c r="S52" s="5">
        <v>22</v>
      </c>
      <c r="T52" s="5">
        <v>21</v>
      </c>
      <c r="U52" s="5">
        <v>22</v>
      </c>
      <c r="V52" s="5">
        <v>22</v>
      </c>
    </row>
    <row r="53" spans="1:22" x14ac:dyDescent="0.2">
      <c r="A53" s="2" t="s">
        <v>113</v>
      </c>
      <c r="B53" s="2" t="s">
        <v>114</v>
      </c>
      <c r="C53" s="5">
        <v>22</v>
      </c>
      <c r="D53" s="3">
        <v>4385.6497218750756</v>
      </c>
      <c r="E53" s="3">
        <v>-0.64031437748954412</v>
      </c>
      <c r="F53" s="3">
        <v>2.1060338571963069</v>
      </c>
      <c r="G53" s="3">
        <v>161.42857142857139</v>
      </c>
      <c r="H53" s="4">
        <v>198553524.09090909</v>
      </c>
      <c r="I53" s="3">
        <v>0.2480516666666667</v>
      </c>
      <c r="J53" s="3">
        <v>28.281248705020651</v>
      </c>
      <c r="K53" s="3">
        <v>52.856247307290161</v>
      </c>
      <c r="L53" s="3">
        <v>56.488213862281512</v>
      </c>
      <c r="M53" s="3">
        <v>56.966132850646083</v>
      </c>
      <c r="N53" s="3">
        <v>0.47791898836457142</v>
      </c>
      <c r="O53" s="5">
        <v>22</v>
      </c>
      <c r="P53" s="5">
        <v>21</v>
      </c>
      <c r="Q53" s="5">
        <v>19</v>
      </c>
      <c r="R53" s="5">
        <v>21</v>
      </c>
      <c r="S53" s="5">
        <v>22</v>
      </c>
      <c r="T53" s="5">
        <v>12</v>
      </c>
      <c r="U53" s="5">
        <v>22</v>
      </c>
      <c r="V53" s="5">
        <v>22</v>
      </c>
    </row>
    <row r="54" spans="1:22" x14ac:dyDescent="0.2">
      <c r="A54" s="2" t="s">
        <v>115</v>
      </c>
      <c r="B54" s="2" t="s">
        <v>116</v>
      </c>
      <c r="C54" s="5">
        <v>22</v>
      </c>
      <c r="D54" s="3">
        <v>12608.921471412301</v>
      </c>
      <c r="E54" s="3">
        <v>-0.85850416478656599</v>
      </c>
      <c r="F54" s="3">
        <v>3.325752023861714</v>
      </c>
      <c r="G54" s="3">
        <v>16.93333333333333</v>
      </c>
      <c r="H54" s="4">
        <v>5842774.9090909092</v>
      </c>
      <c r="I54" s="3">
        <v>9.2448235294117651E-2</v>
      </c>
      <c r="J54" s="3">
        <v>75.037117534134396</v>
      </c>
      <c r="K54" s="3">
        <v>64.068159244023022</v>
      </c>
      <c r="L54" s="3">
        <v>68.458757379599575</v>
      </c>
      <c r="M54" s="3">
        <v>68.12603140013583</v>
      </c>
      <c r="N54" s="3">
        <v>-0.3327259794637456</v>
      </c>
      <c r="O54" s="5">
        <v>22</v>
      </c>
      <c r="P54" s="5">
        <v>21</v>
      </c>
      <c r="Q54" s="5">
        <v>18</v>
      </c>
      <c r="R54" s="5">
        <v>15</v>
      </c>
      <c r="S54" s="5">
        <v>22</v>
      </c>
      <c r="T54" s="5">
        <v>17</v>
      </c>
      <c r="U54" s="5">
        <v>22</v>
      </c>
      <c r="V54" s="5">
        <v>22</v>
      </c>
    </row>
    <row r="55" spans="1:22" x14ac:dyDescent="0.2">
      <c r="A55" s="2" t="s">
        <v>117</v>
      </c>
      <c r="B55" s="2" t="s">
        <v>118</v>
      </c>
      <c r="C55" s="5">
        <v>22</v>
      </c>
      <c r="D55" s="3">
        <v>11898.648947006721</v>
      </c>
      <c r="E55" s="3">
        <v>-0.37095011203061973</v>
      </c>
      <c r="F55" s="3">
        <v>3.272450468756936</v>
      </c>
      <c r="G55" s="3">
        <v>59.5</v>
      </c>
      <c r="H55" s="4">
        <v>29532743</v>
      </c>
      <c r="I55" s="3">
        <v>0.117070625</v>
      </c>
      <c r="J55" s="3">
        <v>47.137413077193457</v>
      </c>
      <c r="K55" s="3">
        <v>66.37827426711732</v>
      </c>
      <c r="L55" s="3">
        <v>72.049185603938554</v>
      </c>
      <c r="M55" s="3">
        <v>72.669447239198718</v>
      </c>
      <c r="N55" s="3">
        <v>0.62026163526016376</v>
      </c>
      <c r="O55" s="5">
        <v>22</v>
      </c>
      <c r="P55" s="5">
        <v>21</v>
      </c>
      <c r="Q55" s="5">
        <v>22</v>
      </c>
      <c r="R55" s="5">
        <v>22</v>
      </c>
      <c r="S55" s="5">
        <v>22</v>
      </c>
      <c r="T55" s="5">
        <v>16</v>
      </c>
      <c r="U55" s="5">
        <v>22</v>
      </c>
      <c r="V55" s="5">
        <v>22</v>
      </c>
    </row>
    <row r="56" spans="1:22" x14ac:dyDescent="0.2">
      <c r="A56" s="2" t="s">
        <v>119</v>
      </c>
      <c r="B56" s="2" t="s">
        <v>120</v>
      </c>
      <c r="C56" s="5">
        <v>22</v>
      </c>
      <c r="D56" s="3">
        <v>6694.1392408105194</v>
      </c>
      <c r="E56" s="3">
        <v>3.0397312183465239E-2</v>
      </c>
      <c r="F56" s="3">
        <v>3.0277444151496482</v>
      </c>
      <c r="G56" s="3">
        <v>267.09090909090912</v>
      </c>
      <c r="H56" s="4">
        <v>97142313.409090906</v>
      </c>
      <c r="I56" s="3">
        <v>0.14468333333333341</v>
      </c>
      <c r="J56" s="3">
        <v>70.240357158847686</v>
      </c>
      <c r="K56" s="3">
        <v>61.406132770987178</v>
      </c>
      <c r="L56" s="3">
        <v>66.726128127917832</v>
      </c>
      <c r="M56" s="3">
        <v>68.335205298786192</v>
      </c>
      <c r="N56" s="3">
        <v>1.60907717086836</v>
      </c>
      <c r="O56" s="5">
        <v>22</v>
      </c>
      <c r="P56" s="5">
        <v>21</v>
      </c>
      <c r="Q56" s="5">
        <v>18</v>
      </c>
      <c r="R56" s="5">
        <v>22</v>
      </c>
      <c r="S56" s="5">
        <v>22</v>
      </c>
      <c r="T56" s="5">
        <v>9</v>
      </c>
      <c r="U56" s="5">
        <v>22</v>
      </c>
      <c r="V56" s="5">
        <v>22</v>
      </c>
    </row>
    <row r="57" spans="1:22" x14ac:dyDescent="0.2">
      <c r="A57" s="2" t="s">
        <v>121</v>
      </c>
      <c r="B57" s="2" t="s">
        <v>122</v>
      </c>
      <c r="C57" s="5">
        <v>22</v>
      </c>
      <c r="D57" s="3">
        <v>27927.98138462783</v>
      </c>
      <c r="E57" s="3">
        <v>0.52299489861442916</v>
      </c>
      <c r="F57" s="3">
        <v>4.9531836292960421</v>
      </c>
      <c r="G57" s="3">
        <v>3252</v>
      </c>
      <c r="H57" s="4">
        <v>38019022.545454547</v>
      </c>
      <c r="I57" s="3">
        <v>0.83670545454545442</v>
      </c>
      <c r="J57" s="3">
        <v>84.002595592028783</v>
      </c>
      <c r="K57" s="3">
        <v>77.761200376806798</v>
      </c>
      <c r="L57" s="3">
        <v>81.106078088578087</v>
      </c>
      <c r="M57" s="3">
        <v>82.082900944480372</v>
      </c>
      <c r="N57" s="3">
        <v>0.97682285590228446</v>
      </c>
      <c r="O57" s="5">
        <v>22</v>
      </c>
      <c r="P57" s="5">
        <v>21</v>
      </c>
      <c r="Q57" s="5">
        <v>22</v>
      </c>
      <c r="R57" s="5">
        <v>22</v>
      </c>
      <c r="S57" s="5">
        <v>22</v>
      </c>
      <c r="T57" s="5">
        <v>22</v>
      </c>
      <c r="U57" s="5">
        <v>22</v>
      </c>
      <c r="V57" s="5">
        <v>22</v>
      </c>
    </row>
    <row r="58" spans="1:22" x14ac:dyDescent="0.2">
      <c r="A58" s="2" t="s">
        <v>123</v>
      </c>
      <c r="B58" s="2" t="s">
        <v>124</v>
      </c>
      <c r="C58" s="5">
        <v>22</v>
      </c>
      <c r="D58" s="3">
        <v>36471.795860000188</v>
      </c>
      <c r="E58" s="3">
        <v>1.0594442798977799</v>
      </c>
      <c r="F58" s="3">
        <v>5.0459537960234151</v>
      </c>
      <c r="G58" s="3">
        <v>465.13636363636363</v>
      </c>
      <c r="H58" s="4">
        <v>10428482.954545461</v>
      </c>
      <c r="I58" s="3">
        <v>1.197905909090909</v>
      </c>
      <c r="J58" s="3">
        <v>73.179347615470519</v>
      </c>
      <c r="K58" s="3">
        <v>76.431313123210714</v>
      </c>
      <c r="L58" s="3">
        <v>80.55832316017316</v>
      </c>
      <c r="M58" s="3">
        <v>80.640692668279442</v>
      </c>
      <c r="N58" s="3">
        <v>8.2369508106282296E-2</v>
      </c>
      <c r="O58" s="5">
        <v>22</v>
      </c>
      <c r="P58" s="5">
        <v>21</v>
      </c>
      <c r="Q58" s="5">
        <v>21</v>
      </c>
      <c r="R58" s="5">
        <v>22</v>
      </c>
      <c r="S58" s="5">
        <v>22</v>
      </c>
      <c r="T58" s="5">
        <v>22</v>
      </c>
      <c r="U58" s="5">
        <v>22</v>
      </c>
      <c r="V58" s="5">
        <v>22</v>
      </c>
    </row>
    <row r="59" spans="1:22" x14ac:dyDescent="0.2">
      <c r="A59" s="2" t="s">
        <v>125</v>
      </c>
      <c r="B59" s="2" t="s">
        <v>126</v>
      </c>
      <c r="C59" s="5">
        <v>22</v>
      </c>
      <c r="D59" s="3">
        <v>26096.808405960412</v>
      </c>
      <c r="E59" s="3">
        <v>-0.1658899471873328</v>
      </c>
      <c r="F59" s="3">
        <v>3.4053804549303921</v>
      </c>
      <c r="G59" s="3">
        <v>1020.636363636364</v>
      </c>
      <c r="H59" s="4">
        <v>20468996.86363636</v>
      </c>
      <c r="I59" s="3">
        <v>0.44767954545454552</v>
      </c>
      <c r="J59" s="3">
        <v>70.943349047081668</v>
      </c>
      <c r="K59" s="3">
        <v>73.567726821789321</v>
      </c>
      <c r="L59" s="3">
        <v>77.555410224089641</v>
      </c>
      <c r="M59" s="3">
        <v>77.672961531279185</v>
      </c>
      <c r="N59" s="3">
        <v>0.1175513071895438</v>
      </c>
      <c r="O59" s="5">
        <v>22</v>
      </c>
      <c r="P59" s="5">
        <v>21</v>
      </c>
      <c r="Q59" s="5">
        <v>22</v>
      </c>
      <c r="R59" s="5">
        <v>22</v>
      </c>
      <c r="S59" s="5">
        <v>22</v>
      </c>
      <c r="T59" s="5">
        <v>22</v>
      </c>
      <c r="U59" s="5">
        <v>22</v>
      </c>
      <c r="V59" s="5">
        <v>22</v>
      </c>
    </row>
    <row r="60" spans="1:22" x14ac:dyDescent="0.2">
      <c r="A60" s="2" t="s">
        <v>127</v>
      </c>
      <c r="B60" s="2" t="s">
        <v>128</v>
      </c>
      <c r="C60" s="5">
        <v>22</v>
      </c>
      <c r="D60" s="3">
        <v>31806.743252840912</v>
      </c>
      <c r="E60" s="3">
        <v>-0.38045004755258571</v>
      </c>
      <c r="F60" s="3">
        <v>3.8444882190137681</v>
      </c>
      <c r="G60" s="3">
        <v>25425</v>
      </c>
      <c r="H60" s="4">
        <v>144299035.22727269</v>
      </c>
      <c r="I60" s="3">
        <v>1.0965804545454549</v>
      </c>
      <c r="J60" s="3">
        <v>52.239916824622519</v>
      </c>
      <c r="K60" s="3">
        <v>70.879759933204056</v>
      </c>
      <c r="L60" s="3">
        <v>74.343976438267617</v>
      </c>
      <c r="M60" s="3">
        <v>74.125948516842641</v>
      </c>
      <c r="N60" s="3">
        <v>-0.21802792142497651</v>
      </c>
      <c r="O60" s="5">
        <v>22</v>
      </c>
      <c r="P60" s="5">
        <v>21</v>
      </c>
      <c r="Q60" s="5">
        <v>20</v>
      </c>
      <c r="R60" s="5">
        <v>22</v>
      </c>
      <c r="S60" s="5">
        <v>22</v>
      </c>
      <c r="T60" s="5">
        <v>22</v>
      </c>
      <c r="U60" s="5">
        <v>22</v>
      </c>
      <c r="V60" s="5">
        <v>22</v>
      </c>
    </row>
    <row r="61" spans="1:22" x14ac:dyDescent="0.2">
      <c r="A61" s="2" t="s">
        <v>129</v>
      </c>
      <c r="B61" s="2" t="s">
        <v>130</v>
      </c>
      <c r="C61" s="5">
        <v>22</v>
      </c>
      <c r="D61" s="3">
        <v>17262.979012971049</v>
      </c>
      <c r="E61" s="3">
        <v>-0.1895490665310284</v>
      </c>
      <c r="F61" s="3">
        <v>3.6930862367153181</v>
      </c>
      <c r="G61" s="3">
        <v>255</v>
      </c>
      <c r="H61" s="4">
        <v>7237825</v>
      </c>
      <c r="I61" s="3">
        <v>0.69780500000000001</v>
      </c>
      <c r="J61" s="3">
        <v>79.244925730472744</v>
      </c>
      <c r="K61" s="3">
        <v>73.740563909898498</v>
      </c>
      <c r="L61" s="3">
        <v>78.961247767857131</v>
      </c>
      <c r="M61" s="3">
        <v>78.161264463967413</v>
      </c>
      <c r="N61" s="3">
        <v>-0.79998330388971794</v>
      </c>
      <c r="O61" s="5">
        <v>22</v>
      </c>
      <c r="P61" s="5">
        <v>21</v>
      </c>
      <c r="Q61" s="5">
        <v>8</v>
      </c>
      <c r="R61" s="5">
        <v>18</v>
      </c>
      <c r="S61" s="5">
        <v>22</v>
      </c>
      <c r="T61" s="5">
        <v>22</v>
      </c>
      <c r="U61" s="5">
        <v>22</v>
      </c>
      <c r="V61" s="5">
        <v>22</v>
      </c>
    </row>
    <row r="62" spans="1:22" x14ac:dyDescent="0.2">
      <c r="A62" s="2" t="s">
        <v>131</v>
      </c>
      <c r="B62" s="2" t="s">
        <v>132</v>
      </c>
      <c r="C62" s="5">
        <v>22</v>
      </c>
      <c r="D62" s="3">
        <v>96162.724140167455</v>
      </c>
      <c r="E62" s="3">
        <v>2.1897716465450472</v>
      </c>
      <c r="F62" s="3">
        <v>3.0962200845919559</v>
      </c>
      <c r="G62" s="3">
        <v>1073.909090909091</v>
      </c>
      <c r="H62" s="4">
        <v>4971996.9545454541</v>
      </c>
      <c r="I62" s="3">
        <v>2.05527619047619</v>
      </c>
      <c r="J62" s="3">
        <v>362.93419573189789</v>
      </c>
      <c r="K62" s="3">
        <v>67.496133502885996</v>
      </c>
      <c r="L62" s="3">
        <v>68.802425317460333</v>
      </c>
      <c r="M62" s="3">
        <v>71.543615668767529</v>
      </c>
      <c r="N62" s="3">
        <v>2.7411903513071958</v>
      </c>
      <c r="O62" s="5">
        <v>22</v>
      </c>
      <c r="P62" s="5">
        <v>21</v>
      </c>
      <c r="Q62" s="5">
        <v>22</v>
      </c>
      <c r="R62" s="5">
        <v>22</v>
      </c>
      <c r="S62" s="5">
        <v>22</v>
      </c>
      <c r="T62" s="5">
        <v>21</v>
      </c>
      <c r="U62" s="5">
        <v>22</v>
      </c>
      <c r="V62" s="5">
        <v>22</v>
      </c>
    </row>
    <row r="63" spans="1:22" x14ac:dyDescent="0.2">
      <c r="A63" s="2" t="s">
        <v>133</v>
      </c>
      <c r="B63" s="2" t="s">
        <v>134</v>
      </c>
      <c r="C63" s="5">
        <v>22</v>
      </c>
      <c r="D63" s="3">
        <v>29035.527204053709</v>
      </c>
      <c r="E63" s="3">
        <v>0.71358459904080351</v>
      </c>
      <c r="F63" s="3">
        <v>4.0471090836958448</v>
      </c>
      <c r="G63" s="3">
        <v>205.59090909090909</v>
      </c>
      <c r="H63" s="4">
        <v>5404842.3181818184</v>
      </c>
      <c r="I63" s="3">
        <v>0.69498409090909086</v>
      </c>
      <c r="J63" s="3">
        <v>160.3117887022488</v>
      </c>
      <c r="K63" s="3">
        <v>78.226170242912076</v>
      </c>
      <c r="L63" s="3">
        <v>80.839402238906914</v>
      </c>
      <c r="M63" s="3">
        <v>80.774353010143471</v>
      </c>
      <c r="N63" s="3">
        <v>-6.5049228763442102E-2</v>
      </c>
      <c r="O63" s="5">
        <v>22</v>
      </c>
      <c r="P63" s="5">
        <v>21</v>
      </c>
      <c r="Q63" s="5">
        <v>22</v>
      </c>
      <c r="R63" s="5">
        <v>22</v>
      </c>
      <c r="S63" s="5">
        <v>22</v>
      </c>
      <c r="T63" s="5">
        <v>22</v>
      </c>
      <c r="U63" s="5">
        <v>22</v>
      </c>
      <c r="V63" s="5">
        <v>22</v>
      </c>
    </row>
    <row r="64" spans="1:22" x14ac:dyDescent="0.2">
      <c r="A64" s="2" t="s">
        <v>135</v>
      </c>
      <c r="B64" s="2" t="s">
        <v>136</v>
      </c>
      <c r="C64" s="5">
        <v>22</v>
      </c>
      <c r="D64" s="3">
        <v>37994.955675584359</v>
      </c>
      <c r="E64" s="3">
        <v>0.99006783962249723</v>
      </c>
      <c r="F64" s="3">
        <v>5.3886890411376953</v>
      </c>
      <c r="G64" s="3">
        <v>321.13333333333333</v>
      </c>
      <c r="H64" s="4">
        <v>2041043.863636364</v>
      </c>
      <c r="I64" s="3">
        <v>1.8630868181818181</v>
      </c>
      <c r="J64" s="3">
        <v>134.56054586428749</v>
      </c>
      <c r="K64" s="3">
        <v>78.295925694106842</v>
      </c>
      <c r="L64" s="3">
        <v>80.29760544520839</v>
      </c>
      <c r="M64" s="3">
        <v>81.205378471691688</v>
      </c>
      <c r="N64" s="3">
        <v>0.90777302648329794</v>
      </c>
      <c r="O64" s="5">
        <v>22</v>
      </c>
      <c r="P64" s="5">
        <v>21</v>
      </c>
      <c r="Q64" s="5">
        <v>21</v>
      </c>
      <c r="R64" s="5">
        <v>15</v>
      </c>
      <c r="S64" s="5">
        <v>22</v>
      </c>
      <c r="T64" s="5">
        <v>22</v>
      </c>
      <c r="U64" s="5">
        <v>22</v>
      </c>
      <c r="V64" s="5">
        <v>22</v>
      </c>
    </row>
    <row r="65" spans="1:22" x14ac:dyDescent="0.2">
      <c r="A65" s="2" t="s">
        <v>137</v>
      </c>
      <c r="B65" s="2" t="s">
        <v>138</v>
      </c>
      <c r="C65" s="5">
        <v>22</v>
      </c>
      <c r="D65" s="3">
        <v>13591.200344935711</v>
      </c>
      <c r="E65" s="3">
        <v>0.27376333659603502</v>
      </c>
      <c r="F65" s="3">
        <v>5.1445345445112736</v>
      </c>
      <c r="G65" s="3">
        <v>845.63636363636363</v>
      </c>
      <c r="H65" s="4">
        <v>53380785.636363633</v>
      </c>
      <c r="I65" s="3">
        <v>0.70505550000000006</v>
      </c>
      <c r="J65" s="3">
        <v>53.388143794541413</v>
      </c>
      <c r="K65" s="3">
        <v>59.179360636155288</v>
      </c>
      <c r="L65" s="3">
        <v>63.849057189542478</v>
      </c>
      <c r="M65" s="3">
        <v>64.114309451659452</v>
      </c>
      <c r="N65" s="3">
        <v>0.26525226211697372</v>
      </c>
      <c r="O65" s="5">
        <v>22</v>
      </c>
      <c r="P65" s="5">
        <v>21</v>
      </c>
      <c r="Q65" s="5">
        <v>22</v>
      </c>
      <c r="R65" s="5">
        <v>22</v>
      </c>
      <c r="S65" s="5">
        <v>22</v>
      </c>
      <c r="T65" s="5">
        <v>20</v>
      </c>
      <c r="U65" s="5">
        <v>22</v>
      </c>
      <c r="V65" s="5">
        <v>22</v>
      </c>
    </row>
    <row r="66" spans="1:22" x14ac:dyDescent="0.2">
      <c r="A66" s="2" t="s">
        <v>139</v>
      </c>
      <c r="B66" s="2" t="s">
        <v>140</v>
      </c>
      <c r="C66" s="5">
        <v>22</v>
      </c>
      <c r="D66" s="3">
        <v>43132.418395681038</v>
      </c>
      <c r="E66" s="3">
        <v>1.1457473011243919</v>
      </c>
      <c r="F66" s="3">
        <v>4.3624804670160469</v>
      </c>
      <c r="G66" s="3">
        <v>2719.772727272727</v>
      </c>
      <c r="H66" s="4">
        <v>45221214.227272727</v>
      </c>
      <c r="I66" s="3">
        <v>1.201964090909091</v>
      </c>
      <c r="J66" s="3">
        <v>59.151800295610037</v>
      </c>
      <c r="K66" s="3">
        <v>77.393002599138839</v>
      </c>
      <c r="L66" s="3">
        <v>80.72812724089637</v>
      </c>
      <c r="M66" s="3">
        <v>81.03786423266277</v>
      </c>
      <c r="N66" s="3">
        <v>0.30973699176639968</v>
      </c>
      <c r="O66" s="5">
        <v>22</v>
      </c>
      <c r="P66" s="5">
        <v>21</v>
      </c>
      <c r="Q66" s="5">
        <v>22</v>
      </c>
      <c r="R66" s="5">
        <v>22</v>
      </c>
      <c r="S66" s="5">
        <v>22</v>
      </c>
      <c r="T66" s="5">
        <v>22</v>
      </c>
      <c r="U66" s="5">
        <v>22</v>
      </c>
      <c r="V66" s="5">
        <v>22</v>
      </c>
    </row>
    <row r="67" spans="1:22" x14ac:dyDescent="0.2">
      <c r="A67" s="2" t="s">
        <v>141</v>
      </c>
      <c r="B67" s="2" t="s">
        <v>142</v>
      </c>
      <c r="C67" s="5">
        <v>22</v>
      </c>
      <c r="D67" s="3">
        <v>56151.408000123811</v>
      </c>
      <c r="E67" s="3">
        <v>1.8367953641074051</v>
      </c>
      <c r="F67" s="3">
        <v>7.0675063783472236</v>
      </c>
      <c r="G67" s="3">
        <v>2435.090909090909</v>
      </c>
      <c r="H67" s="4">
        <v>9503074.2272727266</v>
      </c>
      <c r="I67" s="3">
        <v>3.3562625000000001</v>
      </c>
      <c r="J67" s="3">
        <v>84.758413343275734</v>
      </c>
      <c r="K67" s="3">
        <v>85.203854344823327</v>
      </c>
      <c r="L67" s="3">
        <v>85.553876578813359</v>
      </c>
      <c r="M67" s="3">
        <v>85.74132986588576</v>
      </c>
      <c r="N67" s="3">
        <v>0.18745328707240111</v>
      </c>
      <c r="O67" s="5">
        <v>22</v>
      </c>
      <c r="P67" s="5">
        <v>21</v>
      </c>
      <c r="Q67" s="5">
        <v>22</v>
      </c>
      <c r="R67" s="5">
        <v>22</v>
      </c>
      <c r="S67" s="5">
        <v>22</v>
      </c>
      <c r="T67" s="5">
        <v>20</v>
      </c>
      <c r="U67" s="5">
        <v>22</v>
      </c>
      <c r="V67" s="5">
        <v>22</v>
      </c>
    </row>
    <row r="68" spans="1:22" x14ac:dyDescent="0.2">
      <c r="A68" s="2" t="s">
        <v>143</v>
      </c>
      <c r="B68" s="2" t="s">
        <v>144</v>
      </c>
      <c r="C68" s="5">
        <v>22</v>
      </c>
      <c r="D68" s="3">
        <v>73922.254270839316</v>
      </c>
      <c r="E68" s="3">
        <v>1.9573758954093581</v>
      </c>
      <c r="F68" s="3">
        <v>4.9639045541936708</v>
      </c>
      <c r="G68" s="3">
        <v>1590.863636363636</v>
      </c>
      <c r="H68" s="4">
        <v>7901964.2727272715</v>
      </c>
      <c r="I68" s="3">
        <v>2.8822649999999999</v>
      </c>
      <c r="J68" s="3">
        <v>114.1213756264936</v>
      </c>
      <c r="K68" s="3">
        <v>78.178930714511182</v>
      </c>
      <c r="L68" s="3">
        <v>79.638514018620285</v>
      </c>
      <c r="M68" s="3">
        <v>79.155207456187625</v>
      </c>
      <c r="N68" s="3">
        <v>-0.48330656243265929</v>
      </c>
      <c r="O68" s="5">
        <v>22</v>
      </c>
      <c r="P68" s="5">
        <v>21</v>
      </c>
      <c r="Q68" s="5">
        <v>22</v>
      </c>
      <c r="R68" s="5">
        <v>22</v>
      </c>
      <c r="S68" s="5">
        <v>22</v>
      </c>
      <c r="T68" s="5">
        <v>8</v>
      </c>
      <c r="U68" s="5">
        <v>22</v>
      </c>
      <c r="V68" s="5">
        <v>22</v>
      </c>
    </row>
    <row r="69" spans="1:22" x14ac:dyDescent="0.2">
      <c r="A69" s="2" t="s">
        <v>145</v>
      </c>
      <c r="B69" s="2" t="s">
        <v>146</v>
      </c>
      <c r="C69" s="5">
        <v>22</v>
      </c>
      <c r="D69" s="3">
        <v>2580.3756685005392</v>
      </c>
      <c r="E69" s="3">
        <v>-1.030516996270135</v>
      </c>
      <c r="F69" s="3">
        <v>4.0926939864351146</v>
      </c>
      <c r="G69" s="3">
        <v>24.07692307692308</v>
      </c>
      <c r="H69" s="4">
        <v>7907296.3181818184</v>
      </c>
      <c r="I69" s="3">
        <v>9.3934000000000004E-2</v>
      </c>
      <c r="J69" s="3">
        <v>95.570641444260048</v>
      </c>
      <c r="K69" s="3">
        <v>64.555797451073232</v>
      </c>
      <c r="L69" s="3">
        <v>67.881436433531761</v>
      </c>
      <c r="M69" s="3">
        <v>68.269929993209402</v>
      </c>
      <c r="N69" s="3">
        <v>0.38849355967764149</v>
      </c>
      <c r="O69" s="5">
        <v>22</v>
      </c>
      <c r="P69" s="5">
        <v>21</v>
      </c>
      <c r="Q69" s="5">
        <v>22</v>
      </c>
      <c r="R69" s="5">
        <v>13</v>
      </c>
      <c r="S69" s="5">
        <v>22</v>
      </c>
      <c r="T69" s="5">
        <v>20</v>
      </c>
      <c r="U69" s="5">
        <v>22</v>
      </c>
      <c r="V69" s="5">
        <v>22</v>
      </c>
    </row>
    <row r="70" spans="1:22" x14ac:dyDescent="0.2">
      <c r="A70" s="2" t="s">
        <v>147</v>
      </c>
      <c r="B70" s="2" t="s">
        <v>148</v>
      </c>
      <c r="C70" s="5">
        <v>22</v>
      </c>
      <c r="D70" s="3">
        <v>16759.019905187859</v>
      </c>
      <c r="E70" s="3">
        <v>0.22884126468783331</v>
      </c>
      <c r="F70" s="3">
        <v>3.8636953190042012</v>
      </c>
      <c r="G70" s="3">
        <v>930.81818181818187</v>
      </c>
      <c r="H70" s="4">
        <v>68299374.545454547</v>
      </c>
      <c r="I70" s="3">
        <v>0.53868150000000004</v>
      </c>
      <c r="J70" s="3">
        <v>124.637311393665</v>
      </c>
      <c r="K70" s="3">
        <v>70.469826709320103</v>
      </c>
      <c r="L70" s="3">
        <v>74.485278151260516</v>
      </c>
      <c r="M70" s="3">
        <v>75.34208613445378</v>
      </c>
      <c r="N70" s="3">
        <v>0.85680798319326357</v>
      </c>
      <c r="O70" s="5">
        <v>22</v>
      </c>
      <c r="P70" s="5">
        <v>21</v>
      </c>
      <c r="Q70" s="5">
        <v>22</v>
      </c>
      <c r="R70" s="5">
        <v>22</v>
      </c>
      <c r="S70" s="5">
        <v>22</v>
      </c>
      <c r="T70" s="5">
        <v>20</v>
      </c>
      <c r="U70" s="5">
        <v>22</v>
      </c>
      <c r="V70" s="5">
        <v>22</v>
      </c>
    </row>
    <row r="71" spans="1:22" x14ac:dyDescent="0.2">
      <c r="A71" s="2" t="s">
        <v>149</v>
      </c>
      <c r="B71" s="2" t="s">
        <v>150</v>
      </c>
      <c r="C71" s="5">
        <v>22</v>
      </c>
      <c r="D71" s="3">
        <v>11683.173504020009</v>
      </c>
      <c r="E71" s="3">
        <v>0.1514598823352051</v>
      </c>
      <c r="F71" s="3">
        <v>6.3837115274876979</v>
      </c>
      <c r="G71" s="3">
        <v>105.5789473684211</v>
      </c>
      <c r="H71" s="4">
        <v>10881947.40909091</v>
      </c>
      <c r="I71" s="3">
        <v>0.66032222222222225</v>
      </c>
      <c r="J71" s="3">
        <v>94.256956404201205</v>
      </c>
      <c r="K71" s="3">
        <v>68.812370051064505</v>
      </c>
      <c r="L71" s="3">
        <v>72.550836038961052</v>
      </c>
      <c r="M71" s="3">
        <v>72.000996451914105</v>
      </c>
      <c r="N71" s="3">
        <v>-0.54983958704694658</v>
      </c>
      <c r="O71" s="5">
        <v>22</v>
      </c>
      <c r="P71" s="5">
        <v>21</v>
      </c>
      <c r="Q71" s="5">
        <v>16</v>
      </c>
      <c r="R71" s="5">
        <v>19</v>
      </c>
      <c r="S71" s="5">
        <v>22</v>
      </c>
      <c r="T71" s="5">
        <v>18</v>
      </c>
      <c r="U71" s="5">
        <v>22</v>
      </c>
      <c r="V71" s="5">
        <v>22</v>
      </c>
    </row>
    <row r="72" spans="1:22" x14ac:dyDescent="0.2">
      <c r="A72" s="2" t="s">
        <v>151</v>
      </c>
      <c r="B72" s="2" t="s">
        <v>152</v>
      </c>
      <c r="C72" s="5">
        <v>22</v>
      </c>
      <c r="D72" s="3">
        <v>16022.76482599432</v>
      </c>
      <c r="E72" s="3">
        <v>-0.61572415913854328</v>
      </c>
      <c r="F72" s="3">
        <v>5.5700560145650124</v>
      </c>
      <c r="G72" s="3">
        <v>2842.181818181818</v>
      </c>
      <c r="H72" s="4">
        <v>46639147.409090906</v>
      </c>
      <c r="I72" s="3">
        <v>0.73732090909090919</v>
      </c>
      <c r="J72" s="3">
        <v>97.478679691864954</v>
      </c>
      <c r="K72" s="3">
        <v>71.653130063828215</v>
      </c>
      <c r="L72" s="3">
        <v>74.616302624458868</v>
      </c>
      <c r="M72" s="3">
        <v>75.744366609371014</v>
      </c>
      <c r="N72" s="3">
        <v>1.1280639849121461</v>
      </c>
      <c r="O72" s="5">
        <v>22</v>
      </c>
      <c r="P72" s="5">
        <v>21</v>
      </c>
      <c r="Q72" s="5">
        <v>21</v>
      </c>
      <c r="R72" s="5">
        <v>22</v>
      </c>
      <c r="S72" s="5">
        <v>22</v>
      </c>
      <c r="T72" s="5">
        <v>22</v>
      </c>
      <c r="U72" s="5">
        <v>22</v>
      </c>
      <c r="V72" s="5">
        <v>22</v>
      </c>
    </row>
    <row r="73" spans="1:22" x14ac:dyDescent="0.2">
      <c r="A73" s="2" t="s">
        <v>153</v>
      </c>
      <c r="B73" s="2" t="s">
        <v>154</v>
      </c>
      <c r="C73" s="5">
        <v>22</v>
      </c>
      <c r="D73" s="3">
        <v>48017.693067762637</v>
      </c>
      <c r="E73" s="3">
        <v>1.5913457813717069</v>
      </c>
      <c r="F73" s="3">
        <v>5.129261402856736</v>
      </c>
      <c r="G73" s="3">
        <v>16173.81818181818</v>
      </c>
      <c r="H73" s="4">
        <v>62976185.31818182</v>
      </c>
      <c r="I73" s="3">
        <v>1.9473722727272731</v>
      </c>
      <c r="J73" s="3">
        <v>57.377481198298909</v>
      </c>
      <c r="K73" s="3">
        <v>79.023619057747069</v>
      </c>
      <c r="L73" s="3">
        <v>81.770087564722871</v>
      </c>
      <c r="M73" s="3">
        <v>81.854334551396335</v>
      </c>
      <c r="N73" s="3">
        <v>8.4246986673463198E-2</v>
      </c>
      <c r="O73" s="5">
        <v>22</v>
      </c>
      <c r="P73" s="5">
        <v>21</v>
      </c>
      <c r="Q73" s="5">
        <v>21</v>
      </c>
      <c r="R73" s="5">
        <v>22</v>
      </c>
      <c r="S73" s="5">
        <v>22</v>
      </c>
      <c r="T73" s="5">
        <v>22</v>
      </c>
      <c r="U73" s="5">
        <v>22</v>
      </c>
      <c r="V73" s="5">
        <v>22</v>
      </c>
    </row>
    <row r="74" spans="1:22" x14ac:dyDescent="0.2">
      <c r="A74" s="2" t="s">
        <v>155</v>
      </c>
      <c r="B74" s="2" t="s">
        <v>156</v>
      </c>
      <c r="C74" s="5">
        <v>22</v>
      </c>
      <c r="D74" s="3">
        <v>61744.758568483863</v>
      </c>
      <c r="E74" s="3">
        <v>1.524207943961734</v>
      </c>
      <c r="F74" s="3">
        <v>5.0678671428135473</v>
      </c>
      <c r="G74" s="3">
        <v>242889.45454545459</v>
      </c>
      <c r="H74" s="4">
        <v>309564272.09090912</v>
      </c>
      <c r="I74" s="3">
        <v>2.7777013636363641</v>
      </c>
      <c r="J74" s="3">
        <v>26.69370718699173</v>
      </c>
      <c r="K74" s="3">
        <v>73.151430352290319</v>
      </c>
      <c r="L74" s="3">
        <v>75.177822954006785</v>
      </c>
      <c r="M74" s="3">
        <v>75.191668542242056</v>
      </c>
      <c r="N74" s="3">
        <v>1.384558823527016E-2</v>
      </c>
      <c r="O74" s="5">
        <v>22</v>
      </c>
      <c r="P74" s="5">
        <v>21</v>
      </c>
      <c r="Q74" s="5">
        <v>7</v>
      </c>
      <c r="R74" s="5">
        <v>22</v>
      </c>
      <c r="S74" s="5">
        <v>22</v>
      </c>
      <c r="T74" s="5">
        <v>22</v>
      </c>
      <c r="U74" s="5">
        <v>22</v>
      </c>
      <c r="V74" s="5">
        <v>22</v>
      </c>
    </row>
    <row r="75" spans="1:22" x14ac:dyDescent="0.2">
      <c r="A75" s="2" t="s">
        <v>157</v>
      </c>
      <c r="B75" s="2" t="s">
        <v>158</v>
      </c>
      <c r="C75" s="5">
        <v>22</v>
      </c>
      <c r="D75" s="3">
        <v>24186.388975292812</v>
      </c>
      <c r="E75" s="3">
        <v>0.51575448541414182</v>
      </c>
      <c r="F75" s="3">
        <v>3.6476663409570529</v>
      </c>
      <c r="G75" s="3">
        <v>32</v>
      </c>
      <c r="H75" s="4">
        <v>3330544.2727272729</v>
      </c>
      <c r="I75" s="3">
        <v>0.39854263157894743</v>
      </c>
      <c r="J75" s="3">
        <v>51.251045316714688</v>
      </c>
      <c r="K75" s="3">
        <v>73.02071866150041</v>
      </c>
      <c r="L75" s="3">
        <v>77.02047282064342</v>
      </c>
      <c r="M75" s="3">
        <v>77.400804959256419</v>
      </c>
      <c r="N75" s="3">
        <v>0.38033213861299942</v>
      </c>
      <c r="O75" s="5">
        <v>22</v>
      </c>
      <c r="P75" s="5">
        <v>21</v>
      </c>
      <c r="Q75" s="5">
        <v>18</v>
      </c>
      <c r="R75" s="5">
        <v>16</v>
      </c>
      <c r="S75" s="5">
        <v>22</v>
      </c>
      <c r="T75" s="5">
        <v>19</v>
      </c>
      <c r="U75" s="5">
        <v>22</v>
      </c>
      <c r="V75" s="5">
        <v>22</v>
      </c>
    </row>
    <row r="76" spans="1:22" x14ac:dyDescent="0.2">
      <c r="A76" s="2" t="s">
        <v>159</v>
      </c>
      <c r="B76" s="2" t="s">
        <v>160</v>
      </c>
      <c r="C76" s="5">
        <v>22</v>
      </c>
      <c r="D76" s="3">
        <v>6036.6482036439093</v>
      </c>
      <c r="E76" s="3">
        <v>-0.84689360431262528</v>
      </c>
      <c r="F76" s="3">
        <v>5.1689155229066408</v>
      </c>
      <c r="G76" s="3">
        <v>411.45454545454538</v>
      </c>
      <c r="H76" s="4">
        <v>28910139.5</v>
      </c>
      <c r="I76" s="3">
        <v>0.19876727272727271</v>
      </c>
      <c r="J76" s="3">
        <v>56.076808658227733</v>
      </c>
      <c r="K76" s="3">
        <v>65.213563939619405</v>
      </c>
      <c r="L76" s="3">
        <v>71.997580481150791</v>
      </c>
      <c r="M76" s="3">
        <v>73.079578615991863</v>
      </c>
      <c r="N76" s="3">
        <v>1.0819981348410721</v>
      </c>
      <c r="O76" s="5">
        <v>22</v>
      </c>
      <c r="P76" s="5">
        <v>21</v>
      </c>
      <c r="Q76" s="5">
        <v>9</v>
      </c>
      <c r="R76" s="5">
        <v>22</v>
      </c>
      <c r="S76" s="5">
        <v>22</v>
      </c>
      <c r="T76" s="5">
        <v>22</v>
      </c>
      <c r="U76" s="5">
        <v>22</v>
      </c>
      <c r="V76" s="5">
        <v>22</v>
      </c>
    </row>
    <row r="77" spans="1:22" x14ac:dyDescent="0.2">
      <c r="A77" s="2" t="s">
        <v>161</v>
      </c>
      <c r="B77" s="2" t="s">
        <v>162</v>
      </c>
      <c r="C77" s="5">
        <v>22</v>
      </c>
      <c r="D77" s="3">
        <v>3080.50024156171</v>
      </c>
      <c r="E77" s="3">
        <v>-0.77786746763047721</v>
      </c>
      <c r="F77" s="3">
        <v>3.2931811495554371</v>
      </c>
      <c r="G77" s="3">
        <v>9.9047619047619051</v>
      </c>
      <c r="H77" s="4">
        <v>14397922.77272727</v>
      </c>
      <c r="I77" s="3">
        <v>6.7851999999999996E-2</v>
      </c>
      <c r="J77" s="3">
        <v>69.492501974234528</v>
      </c>
      <c r="K77" s="3">
        <v>49.528428390233508</v>
      </c>
      <c r="L77" s="3">
        <v>53.59543839060246</v>
      </c>
      <c r="M77" s="3">
        <v>54.772347647483222</v>
      </c>
      <c r="N77" s="3">
        <v>1.176909256880762</v>
      </c>
      <c r="O77" s="5">
        <v>22</v>
      </c>
      <c r="P77" s="5">
        <v>21</v>
      </c>
      <c r="Q77" s="5">
        <v>17</v>
      </c>
      <c r="R77" s="5">
        <v>21</v>
      </c>
      <c r="S77" s="5">
        <v>22</v>
      </c>
      <c r="T77" s="5">
        <v>5</v>
      </c>
      <c r="U77" s="5">
        <v>22</v>
      </c>
      <c r="V77" s="5">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7"/>
  <sheetViews>
    <sheetView workbookViewId="0">
      <pane ySplit="1" topLeftCell="A2" activePane="bottomLeft" state="frozen"/>
      <selection pane="bottomLeft" activeCell="J2" sqref="J2"/>
    </sheetView>
  </sheetViews>
  <sheetFormatPr baseColWidth="10" defaultColWidth="8.83203125" defaultRowHeight="15" x14ac:dyDescent="0.2"/>
  <cols>
    <col min="1" max="1" width="22" customWidth="1"/>
    <col min="2" max="3" width="12" customWidth="1"/>
    <col min="4" max="4" width="20" customWidth="1"/>
    <col min="5" max="5" width="32" customWidth="1"/>
    <col min="6" max="6" width="20" customWidth="1"/>
    <col min="7" max="7" width="35" customWidth="1"/>
    <col min="8" max="8" width="22" customWidth="1"/>
    <col min="9" max="11" width="20" customWidth="1"/>
    <col min="12" max="13" width="19" customWidth="1"/>
    <col min="14" max="14" width="18" customWidth="1"/>
    <col min="15" max="15" width="33" customWidth="1"/>
    <col min="16" max="16" width="23" customWidth="1"/>
    <col min="17" max="17" width="31" customWidth="1"/>
    <col min="18" max="18" width="20" customWidth="1"/>
    <col min="19" max="19" width="32" customWidth="1"/>
    <col min="20" max="20" width="35" customWidth="1"/>
    <col min="21" max="21" width="34" customWidth="1"/>
    <col min="22" max="22" width="20" customWidth="1"/>
    <col min="23" max="23" width="21" customWidth="1"/>
  </cols>
  <sheetData>
    <row r="1" spans="1:23" ht="30" customHeight="1" x14ac:dyDescent="0.2">
      <c r="A1" s="1" t="s">
        <v>0</v>
      </c>
      <c r="B1" s="1" t="s">
        <v>1</v>
      </c>
      <c r="C1" s="1" t="s">
        <v>163</v>
      </c>
      <c r="D1" s="1" t="s">
        <v>3</v>
      </c>
      <c r="E1" s="1" t="s">
        <v>6</v>
      </c>
      <c r="F1" s="1" t="s">
        <v>7</v>
      </c>
      <c r="G1" s="1" t="s">
        <v>4</v>
      </c>
      <c r="H1" s="1" t="s">
        <v>5</v>
      </c>
      <c r="I1" s="1" t="s">
        <v>8</v>
      </c>
      <c r="J1" s="1" t="s">
        <v>9</v>
      </c>
      <c r="K1" s="1" t="s">
        <v>10</v>
      </c>
      <c r="L1" s="1" t="s">
        <v>164</v>
      </c>
      <c r="M1" s="1" t="s">
        <v>165</v>
      </c>
      <c r="N1" s="1" t="s">
        <v>166</v>
      </c>
      <c r="O1" s="1" t="s">
        <v>175</v>
      </c>
      <c r="P1" s="1" t="s">
        <v>176</v>
      </c>
      <c r="Q1" s="1" t="s">
        <v>177</v>
      </c>
      <c r="R1" s="1" t="s">
        <v>178</v>
      </c>
      <c r="S1" s="1" t="s">
        <v>179</v>
      </c>
      <c r="T1" s="1" t="s">
        <v>180</v>
      </c>
      <c r="U1" s="1" t="s">
        <v>181</v>
      </c>
      <c r="V1" s="1" t="s">
        <v>182</v>
      </c>
      <c r="W1" s="1" t="s">
        <v>183</v>
      </c>
    </row>
    <row r="2" spans="1:23" x14ac:dyDescent="0.2">
      <c r="A2" s="2" t="s">
        <v>11</v>
      </c>
      <c r="B2" s="2" t="s">
        <v>12</v>
      </c>
      <c r="C2" s="5">
        <v>22</v>
      </c>
      <c r="D2" s="3">
        <v>25664.947459779309</v>
      </c>
      <c r="E2" s="3">
        <v>711.5454545454545</v>
      </c>
      <c r="F2" s="4">
        <v>41492246.136363633</v>
      </c>
      <c r="G2" s="3">
        <v>-9.6529919964571706E-2</v>
      </c>
      <c r="H2" s="3">
        <v>4.8222545710476963</v>
      </c>
      <c r="I2" s="3">
        <v>0.50886363636363641</v>
      </c>
      <c r="J2" s="3">
        <v>32.861101282153292</v>
      </c>
      <c r="K2" s="3">
        <v>71.286360007350041</v>
      </c>
      <c r="L2" s="3">
        <v>74.298191176470596</v>
      </c>
      <c r="M2" s="3">
        <v>74.836351381461682</v>
      </c>
      <c r="N2" s="3">
        <v>0.53816020499108674</v>
      </c>
      <c r="O2" s="3">
        <v>17.148877701317289</v>
      </c>
      <c r="P2" s="3">
        <v>10.152881427837791</v>
      </c>
      <c r="Q2" s="3">
        <v>2.8986087241608538</v>
      </c>
      <c r="R2" s="3">
        <v>10.152881427837791</v>
      </c>
      <c r="S2" s="3">
        <v>-9.6529919964571706E-2</v>
      </c>
      <c r="T2" s="3">
        <v>4.8222545710476963</v>
      </c>
      <c r="U2" s="3">
        <v>2.8986087241608538</v>
      </c>
      <c r="V2" s="3">
        <v>0.50886363636363641</v>
      </c>
      <c r="W2" s="3">
        <v>32.861101282153292</v>
      </c>
    </row>
    <row r="3" spans="1:23" x14ac:dyDescent="0.2">
      <c r="A3" s="2" t="s">
        <v>13</v>
      </c>
      <c r="B3" s="2" t="s">
        <v>14</v>
      </c>
      <c r="C3" s="5">
        <v>22</v>
      </c>
      <c r="D3" s="3">
        <v>10943.36012721039</v>
      </c>
      <c r="E3" s="3">
        <v>132.66666666666671</v>
      </c>
      <c r="F3" s="4">
        <v>3067195.4545454551</v>
      </c>
      <c r="G3" s="3">
        <v>-0.20360369802940459</v>
      </c>
      <c r="H3" s="3">
        <v>2.706826131652087</v>
      </c>
      <c r="I3" s="3">
        <v>0.2378395454545455</v>
      </c>
      <c r="J3" s="3">
        <v>73.054205511931826</v>
      </c>
      <c r="K3" s="3">
        <v>70.749834053706707</v>
      </c>
      <c r="L3" s="3">
        <v>73.909823511904762</v>
      </c>
      <c r="M3" s="3">
        <v>74.253555833545548</v>
      </c>
      <c r="N3" s="3">
        <v>0.34373232164078621</v>
      </c>
      <c r="O3" s="3">
        <v>43.253411343597392</v>
      </c>
      <c r="P3" s="3">
        <v>9.3004881702446092</v>
      </c>
      <c r="Q3" s="3">
        <v>3.7899324609931391</v>
      </c>
      <c r="R3" s="3">
        <v>9.3004881702446092</v>
      </c>
      <c r="S3" s="3">
        <v>-0.20360369802940459</v>
      </c>
      <c r="T3" s="3">
        <v>2.706826131652087</v>
      </c>
      <c r="U3" s="3">
        <v>3.7899324609931391</v>
      </c>
      <c r="V3" s="3">
        <v>0.2378395454545455</v>
      </c>
      <c r="W3" s="3">
        <v>73.054205511931826</v>
      </c>
    </row>
    <row r="4" spans="1:23" x14ac:dyDescent="0.2">
      <c r="A4" s="2" t="s">
        <v>15</v>
      </c>
      <c r="B4" s="2" t="s">
        <v>16</v>
      </c>
      <c r="C4" s="5">
        <v>22</v>
      </c>
      <c r="D4" s="3">
        <v>59527.39762808173</v>
      </c>
      <c r="E4" s="3">
        <v>2141.363636363636</v>
      </c>
      <c r="F4" s="4">
        <v>8448510.5909090918</v>
      </c>
      <c r="G4" s="3">
        <v>1.661072203091214</v>
      </c>
      <c r="H4" s="3">
        <v>5.4654959331859239</v>
      </c>
      <c r="I4" s="3">
        <v>2.6756472727272729</v>
      </c>
      <c r="J4" s="3">
        <v>99.250266872577811</v>
      </c>
      <c r="K4" s="3">
        <v>82.383104864611397</v>
      </c>
      <c r="L4" s="3">
        <v>84.331370770375457</v>
      </c>
      <c r="M4" s="3">
        <v>83.012913138250667</v>
      </c>
      <c r="N4" s="3">
        <v>-1.3184576321247901</v>
      </c>
      <c r="O4" s="3">
        <v>253.46049026296089</v>
      </c>
      <c r="P4" s="3">
        <v>10.994191949890061</v>
      </c>
      <c r="Q4" s="3">
        <v>5.5391455793925726</v>
      </c>
      <c r="R4" s="3">
        <v>10.994191949890061</v>
      </c>
      <c r="S4" s="3">
        <v>1.661072203091214</v>
      </c>
      <c r="T4" s="3">
        <v>5.4654959331859239</v>
      </c>
      <c r="U4" s="3">
        <v>5.5391455793925726</v>
      </c>
      <c r="V4" s="3">
        <v>2.6756472727272729</v>
      </c>
      <c r="W4" s="3">
        <v>99.250266872577811</v>
      </c>
    </row>
    <row r="5" spans="1:23" x14ac:dyDescent="0.2">
      <c r="A5" s="2" t="s">
        <v>17</v>
      </c>
      <c r="B5" s="2" t="s">
        <v>18</v>
      </c>
      <c r="C5" s="5">
        <v>22</v>
      </c>
      <c r="D5" s="3">
        <v>15918.566901128461</v>
      </c>
      <c r="E5" s="3">
        <v>200.71428571428569</v>
      </c>
      <c r="F5" s="4">
        <v>9089631</v>
      </c>
      <c r="G5" s="3">
        <v>-0.54360978092466083</v>
      </c>
      <c r="H5" s="3">
        <v>2.9701986421238291</v>
      </c>
      <c r="I5" s="3">
        <v>0.23048909090909089</v>
      </c>
      <c r="J5" s="3">
        <v>87.171216555590433</v>
      </c>
      <c r="K5" s="3">
        <v>68.71313283955628</v>
      </c>
      <c r="L5" s="3">
        <v>73.028039508928572</v>
      </c>
      <c r="M5" s="3">
        <v>72.900156066972258</v>
      </c>
      <c r="N5" s="3">
        <v>-0.12788344195631399</v>
      </c>
      <c r="O5" s="3">
        <v>22.081675891385</v>
      </c>
      <c r="P5" s="3">
        <v>9.6752414365731028</v>
      </c>
      <c r="Q5" s="3">
        <v>3.139039051282134</v>
      </c>
      <c r="R5" s="3">
        <v>9.6752414365731028</v>
      </c>
      <c r="S5" s="3">
        <v>-0.54360978092466083</v>
      </c>
      <c r="T5" s="3">
        <v>2.9701986421238291</v>
      </c>
      <c r="U5" s="3">
        <v>3.139039051282134</v>
      </c>
      <c r="V5" s="3">
        <v>0.23048909090909089</v>
      </c>
      <c r="W5" s="3">
        <v>87.171216555590433</v>
      </c>
    </row>
    <row r="6" spans="1:23" x14ac:dyDescent="0.2">
      <c r="A6" s="2" t="s">
        <v>19</v>
      </c>
      <c r="B6" s="2" t="s">
        <v>20</v>
      </c>
      <c r="C6" s="5">
        <v>22</v>
      </c>
      <c r="D6" s="3">
        <v>4549.1433400882624</v>
      </c>
      <c r="E6" s="3">
        <v>54.454545454545453</v>
      </c>
      <c r="F6" s="4">
        <v>152443205.27272731</v>
      </c>
      <c r="G6" s="3">
        <v>-0.77035589161373319</v>
      </c>
      <c r="H6" s="3">
        <v>1.9914083279134469</v>
      </c>
      <c r="I6" s="2"/>
      <c r="J6" s="3">
        <v>35.714604408899241</v>
      </c>
      <c r="K6" s="3">
        <v>57.639983572933303</v>
      </c>
      <c r="L6" s="3">
        <v>63.242468954248373</v>
      </c>
      <c r="M6" s="3">
        <v>63.882218606230389</v>
      </c>
      <c r="N6" s="3">
        <v>0.63974965198201517</v>
      </c>
      <c r="O6" s="3">
        <v>0.35721202107449768</v>
      </c>
      <c r="P6" s="3">
        <v>8.4226942173149961</v>
      </c>
      <c r="Q6" s="3">
        <v>0.3054326111496159</v>
      </c>
      <c r="R6" s="3">
        <v>8.4226942173149961</v>
      </c>
      <c r="S6" s="3">
        <v>-0.77035589161373319</v>
      </c>
      <c r="T6" s="3">
        <v>1.9914083279134469</v>
      </c>
      <c r="U6" s="3">
        <v>0.3054326111496159</v>
      </c>
      <c r="V6" s="2"/>
      <c r="W6" s="3">
        <v>35.714604408899241</v>
      </c>
    </row>
    <row r="7" spans="1:23" x14ac:dyDescent="0.2">
      <c r="A7" s="2" t="s">
        <v>21</v>
      </c>
      <c r="B7" s="2" t="s">
        <v>22</v>
      </c>
      <c r="C7" s="5">
        <v>22</v>
      </c>
      <c r="D7" s="3">
        <v>21571.14576588515</v>
      </c>
      <c r="E7" s="3">
        <v>1003.181818181818</v>
      </c>
      <c r="F7" s="4">
        <v>9562614.8636363633</v>
      </c>
      <c r="G7" s="3">
        <v>-0.86555927566119584</v>
      </c>
      <c r="H7" s="3">
        <v>5.1046832667456741</v>
      </c>
      <c r="I7" s="3">
        <v>0.63048272727272725</v>
      </c>
      <c r="J7" s="3">
        <v>129.6651023402822</v>
      </c>
      <c r="K7" s="3">
        <v>76.601243090195794</v>
      </c>
      <c r="L7" s="3">
        <v>79.43371541756855</v>
      </c>
      <c r="M7" s="3">
        <v>78.465706642050776</v>
      </c>
      <c r="N7" s="3">
        <v>-0.96800877551777376</v>
      </c>
      <c r="O7" s="3">
        <v>104.90664242858981</v>
      </c>
      <c r="P7" s="3">
        <v>9.9791118564650549</v>
      </c>
      <c r="Q7" s="3">
        <v>4.6625579742341783</v>
      </c>
      <c r="R7" s="3">
        <v>9.9791118564650549</v>
      </c>
      <c r="S7" s="3">
        <v>-0.86555927566119584</v>
      </c>
      <c r="T7" s="3">
        <v>5.1046832667456741</v>
      </c>
      <c r="U7" s="3">
        <v>4.6625579742341783</v>
      </c>
      <c r="V7" s="3">
        <v>0.63048272727272725</v>
      </c>
      <c r="W7" s="3">
        <v>129.6651023402822</v>
      </c>
    </row>
    <row r="8" spans="1:23" x14ac:dyDescent="0.2">
      <c r="A8" s="2" t="s">
        <v>23</v>
      </c>
      <c r="B8" s="2" t="s">
        <v>24</v>
      </c>
      <c r="C8" s="5">
        <v>22</v>
      </c>
      <c r="D8" s="3">
        <v>55951.437805439979</v>
      </c>
      <c r="E8" s="3">
        <v>706.13636363636363</v>
      </c>
      <c r="F8" s="4">
        <v>10920794.13636364</v>
      </c>
      <c r="G8" s="3">
        <v>1.535040582929339</v>
      </c>
      <c r="H8" s="3">
        <v>6.4245807011922214</v>
      </c>
      <c r="I8" s="3">
        <v>2.2985854545454552</v>
      </c>
      <c r="J8" s="3">
        <v>153.0400091376311</v>
      </c>
      <c r="K8" s="3">
        <v>77.073346196495123</v>
      </c>
      <c r="L8" s="3">
        <v>80.370938880400658</v>
      </c>
      <c r="M8" s="3">
        <v>80.673855105678626</v>
      </c>
      <c r="N8" s="3">
        <v>0.30291622527796852</v>
      </c>
      <c r="O8" s="3">
        <v>64.659799902746798</v>
      </c>
      <c r="P8" s="3">
        <v>10.932239411451709</v>
      </c>
      <c r="Q8" s="3">
        <v>4.1844868645931221</v>
      </c>
      <c r="R8" s="3">
        <v>10.932239411451709</v>
      </c>
      <c r="S8" s="3">
        <v>1.535040582929339</v>
      </c>
      <c r="T8" s="3">
        <v>6.4245807011922214</v>
      </c>
      <c r="U8" s="3">
        <v>4.1844868645931221</v>
      </c>
      <c r="V8" s="3">
        <v>2.2985854545454552</v>
      </c>
      <c r="W8" s="3">
        <v>153.0400091376311</v>
      </c>
    </row>
    <row r="9" spans="1:23" x14ac:dyDescent="0.2">
      <c r="A9" s="2" t="s">
        <v>25</v>
      </c>
      <c r="B9" s="2" t="s">
        <v>26</v>
      </c>
      <c r="C9" s="5">
        <v>22</v>
      </c>
      <c r="D9" s="3">
        <v>12471.90731972711</v>
      </c>
      <c r="E9" s="3">
        <v>48.5</v>
      </c>
      <c r="F9" s="4">
        <v>3770151.5454545449</v>
      </c>
      <c r="G9" s="3">
        <v>-0.72730150534993177</v>
      </c>
      <c r="H9" s="3">
        <v>3.5661609694403631</v>
      </c>
      <c r="I9" s="3">
        <v>0.14071823529411759</v>
      </c>
      <c r="J9" s="3">
        <v>86.407945176199533</v>
      </c>
      <c r="K9" s="3">
        <v>70.597983906289798</v>
      </c>
      <c r="L9" s="3">
        <v>73.498815056022423</v>
      </c>
      <c r="M9" s="3">
        <v>73.75069509803923</v>
      </c>
      <c r="N9" s="3">
        <v>0.25188004201680769</v>
      </c>
      <c r="O9" s="3">
        <v>12.8642043735546</v>
      </c>
      <c r="P9" s="3">
        <v>9.4312339796425793</v>
      </c>
      <c r="Q9" s="3">
        <v>2.6293102936170158</v>
      </c>
      <c r="R9" s="3">
        <v>9.4312339796425793</v>
      </c>
      <c r="S9" s="3">
        <v>-0.72730150534993177</v>
      </c>
      <c r="T9" s="3">
        <v>3.5661609694403631</v>
      </c>
      <c r="U9" s="3">
        <v>2.6293102936170158</v>
      </c>
      <c r="V9" s="3">
        <v>0.14071823529411759</v>
      </c>
      <c r="W9" s="3">
        <v>86.407945176199533</v>
      </c>
    </row>
    <row r="10" spans="1:23" x14ac:dyDescent="0.2">
      <c r="A10" s="2" t="s">
        <v>27</v>
      </c>
      <c r="B10" s="2" t="s">
        <v>28</v>
      </c>
      <c r="C10" s="5">
        <v>22</v>
      </c>
      <c r="D10" s="3">
        <v>16900.855985208371</v>
      </c>
      <c r="E10" s="3">
        <v>4446.090909090909</v>
      </c>
      <c r="F10" s="4">
        <v>193648123.9545455</v>
      </c>
      <c r="G10" s="3">
        <v>-0.20813114320238429</v>
      </c>
      <c r="H10" s="3">
        <v>5.3237843172890802</v>
      </c>
      <c r="I10" s="3">
        <v>1.123433809523809</v>
      </c>
      <c r="J10" s="3">
        <v>26.75553752112047</v>
      </c>
      <c r="K10" s="3">
        <v>70.417480741525253</v>
      </c>
      <c r="L10" s="3">
        <v>72.727047871572893</v>
      </c>
      <c r="M10" s="3">
        <v>73.812205336983283</v>
      </c>
      <c r="N10" s="3">
        <v>1.0851574654103899</v>
      </c>
      <c r="O10" s="3">
        <v>22.959638432306878</v>
      </c>
      <c r="P10" s="3">
        <v>9.7351195496408263</v>
      </c>
      <c r="Q10" s="3">
        <v>3.1763706826620539</v>
      </c>
      <c r="R10" s="3">
        <v>9.7351195496408263</v>
      </c>
      <c r="S10" s="3">
        <v>-0.20813114320238429</v>
      </c>
      <c r="T10" s="3">
        <v>5.3237843172890802</v>
      </c>
      <c r="U10" s="3">
        <v>3.1763706826620539</v>
      </c>
      <c r="V10" s="3">
        <v>1.123433809523809</v>
      </c>
      <c r="W10" s="3">
        <v>26.75553752112047</v>
      </c>
    </row>
    <row r="11" spans="1:23" x14ac:dyDescent="0.2">
      <c r="A11" s="2" t="s">
        <v>29</v>
      </c>
      <c r="B11" s="2" t="s">
        <v>30</v>
      </c>
      <c r="C11" s="5">
        <v>22</v>
      </c>
      <c r="D11" s="3">
        <v>21747.997223624228</v>
      </c>
      <c r="E11" s="3">
        <v>240.09090909090909</v>
      </c>
      <c r="F11" s="4">
        <v>7300079.2272727285</v>
      </c>
      <c r="G11" s="3">
        <v>-5.3402344208388474E-3</v>
      </c>
      <c r="H11" s="3">
        <v>3.9821800258424549</v>
      </c>
      <c r="I11" s="3">
        <v>0.6087309090909091</v>
      </c>
      <c r="J11" s="3">
        <v>110.2635725468805</v>
      </c>
      <c r="K11" s="3">
        <v>72.99846667939903</v>
      </c>
      <c r="L11" s="3">
        <v>75.953734243697482</v>
      </c>
      <c r="M11" s="3">
        <v>76.30265259103642</v>
      </c>
      <c r="N11" s="3">
        <v>0.34891834733893751</v>
      </c>
      <c r="O11" s="3">
        <v>32.888808684971742</v>
      </c>
      <c r="P11" s="3">
        <v>9.9872769506046026</v>
      </c>
      <c r="Q11" s="3">
        <v>3.5230848325954258</v>
      </c>
      <c r="R11" s="3">
        <v>9.9872769506046026</v>
      </c>
      <c r="S11" s="3">
        <v>-5.3402344208388474E-3</v>
      </c>
      <c r="T11" s="3">
        <v>3.9821800258424549</v>
      </c>
      <c r="U11" s="3">
        <v>3.5230848325954258</v>
      </c>
      <c r="V11" s="3">
        <v>0.6087309090909091</v>
      </c>
      <c r="W11" s="3">
        <v>110.2635725468805</v>
      </c>
    </row>
    <row r="12" spans="1:23" x14ac:dyDescent="0.2">
      <c r="A12" s="2" t="s">
        <v>31</v>
      </c>
      <c r="B12" s="2" t="s">
        <v>32</v>
      </c>
      <c r="C12" s="5">
        <v>22</v>
      </c>
      <c r="D12" s="3">
        <v>53517.998600958803</v>
      </c>
      <c r="E12" s="3">
        <v>4547.045454545455</v>
      </c>
      <c r="F12" s="4">
        <v>34278218.136363633</v>
      </c>
      <c r="G12" s="3">
        <v>1.774015772910345</v>
      </c>
      <c r="H12" s="3">
        <v>4.9018705421023903</v>
      </c>
      <c r="I12" s="3">
        <v>1.8461345454545459</v>
      </c>
      <c r="J12" s="3">
        <v>66.870846039963268</v>
      </c>
      <c r="K12" s="3">
        <v>77.374365880153718</v>
      </c>
      <c r="L12" s="3">
        <v>79.037149011119595</v>
      </c>
      <c r="M12" s="3">
        <v>79.168558810797037</v>
      </c>
      <c r="N12" s="3">
        <v>0.13140979967744221</v>
      </c>
      <c r="O12" s="3">
        <v>132.65116163438429</v>
      </c>
      <c r="P12" s="3">
        <v>10.887773298754579</v>
      </c>
      <c r="Q12" s="3">
        <v>4.895233134162452</v>
      </c>
      <c r="R12" s="3">
        <v>10.887773298754579</v>
      </c>
      <c r="S12" s="3">
        <v>1.774015772910345</v>
      </c>
      <c r="T12" s="3">
        <v>4.9018705421023903</v>
      </c>
      <c r="U12" s="3">
        <v>4.895233134162452</v>
      </c>
      <c r="V12" s="3">
        <v>1.8461345454545459</v>
      </c>
      <c r="W12" s="3">
        <v>66.870846039963268</v>
      </c>
    </row>
    <row r="13" spans="1:23" x14ac:dyDescent="0.2">
      <c r="A13" s="2" t="s">
        <v>33</v>
      </c>
      <c r="B13" s="2" t="s">
        <v>34</v>
      </c>
      <c r="C13" s="5">
        <v>22</v>
      </c>
      <c r="D13" s="3">
        <v>24156.935853874769</v>
      </c>
      <c r="E13" s="3">
        <v>372.04545454545462</v>
      </c>
      <c r="F13" s="4">
        <v>17365043.77272727</v>
      </c>
      <c r="G13" s="3">
        <v>1.00433619817098</v>
      </c>
      <c r="H13" s="3">
        <v>4.3925284624099721</v>
      </c>
      <c r="I13" s="3">
        <v>0.35813666666666671</v>
      </c>
      <c r="J13" s="3">
        <v>65.475125469751575</v>
      </c>
      <c r="K13" s="3">
        <v>74.600733897222796</v>
      </c>
      <c r="L13" s="3">
        <v>77.805213891010951</v>
      </c>
      <c r="M13" s="3">
        <v>78.051832569391379</v>
      </c>
      <c r="N13" s="3">
        <v>0.24661867838042889</v>
      </c>
      <c r="O13" s="3">
        <v>21.424964970705801</v>
      </c>
      <c r="P13" s="3">
        <v>10.09232681676521</v>
      </c>
      <c r="Q13" s="3">
        <v>3.110174845879238</v>
      </c>
      <c r="R13" s="3">
        <v>10.09232681676521</v>
      </c>
      <c r="S13" s="3">
        <v>1.00433619817098</v>
      </c>
      <c r="T13" s="3">
        <v>4.3925284624099721</v>
      </c>
      <c r="U13" s="3">
        <v>3.110174845879238</v>
      </c>
      <c r="V13" s="3">
        <v>0.35813666666666671</v>
      </c>
      <c r="W13" s="3">
        <v>65.475125469751575</v>
      </c>
    </row>
    <row r="14" spans="1:23" x14ac:dyDescent="0.2">
      <c r="A14" s="2" t="s">
        <v>35</v>
      </c>
      <c r="B14" s="2" t="s">
        <v>36</v>
      </c>
      <c r="C14" s="5">
        <v>22</v>
      </c>
      <c r="D14" s="3">
        <v>11314.179603487129</v>
      </c>
      <c r="E14" s="3">
        <v>572197.63636363635</v>
      </c>
      <c r="F14" s="4">
        <v>1343535000</v>
      </c>
      <c r="G14" s="3">
        <v>0.19073176882894979</v>
      </c>
      <c r="H14" s="2"/>
      <c r="I14" s="3">
        <v>1.695995454545455</v>
      </c>
      <c r="J14" s="3">
        <v>45.821642152173688</v>
      </c>
      <c r="K14" s="3">
        <v>66.825083120229451</v>
      </c>
      <c r="L14" s="3">
        <v>73.985571236443292</v>
      </c>
      <c r="M14" s="3">
        <v>74.392781101414926</v>
      </c>
      <c r="N14" s="3">
        <v>0.40720986497163381</v>
      </c>
      <c r="O14" s="3">
        <v>425.88963917102001</v>
      </c>
      <c r="P14" s="3">
        <v>9.3338120502235533</v>
      </c>
      <c r="Q14" s="3">
        <v>6.0565255235490874</v>
      </c>
      <c r="R14" s="3">
        <v>9.3338120502235533</v>
      </c>
      <c r="S14" s="3">
        <v>0.19073176882894979</v>
      </c>
      <c r="T14" s="2"/>
      <c r="U14" s="3">
        <v>6.0565255235490874</v>
      </c>
      <c r="V14" s="3">
        <v>1.695995454545455</v>
      </c>
      <c r="W14" s="3">
        <v>45.821642152173688</v>
      </c>
    </row>
    <row r="15" spans="1:23" x14ac:dyDescent="0.2">
      <c r="A15" s="2" t="s">
        <v>37</v>
      </c>
      <c r="B15" s="2" t="s">
        <v>38</v>
      </c>
      <c r="C15" s="5">
        <v>22</v>
      </c>
      <c r="D15" s="3">
        <v>14342.863322972011</v>
      </c>
      <c r="E15" s="3">
        <v>232.4545454545455</v>
      </c>
      <c r="F15" s="4">
        <v>44974962.090909094</v>
      </c>
      <c r="G15" s="3">
        <v>-0.13190400490670329</v>
      </c>
      <c r="H15" s="3">
        <v>4.3576857021876743</v>
      </c>
      <c r="I15" s="3">
        <v>0.22189047619047619</v>
      </c>
      <c r="J15" s="3">
        <v>36.659809262403087</v>
      </c>
      <c r="K15" s="3">
        <v>67.053078987063145</v>
      </c>
      <c r="L15" s="3">
        <v>69.374691683643164</v>
      </c>
      <c r="M15" s="3">
        <v>70.455097283762001</v>
      </c>
      <c r="N15" s="3">
        <v>1.0804056001188369</v>
      </c>
      <c r="O15" s="3">
        <v>5.1685323266016079</v>
      </c>
      <c r="P15" s="3">
        <v>9.5710077680688617</v>
      </c>
      <c r="Q15" s="3">
        <v>1.8194609371092481</v>
      </c>
      <c r="R15" s="3">
        <v>9.5710077680688617</v>
      </c>
      <c r="S15" s="3">
        <v>-0.13190400490670329</v>
      </c>
      <c r="T15" s="3">
        <v>4.3576857021876743</v>
      </c>
      <c r="U15" s="3">
        <v>1.8194609371092481</v>
      </c>
      <c r="V15" s="3">
        <v>0.22189047619047619</v>
      </c>
      <c r="W15" s="3">
        <v>36.659809262403087</v>
      </c>
    </row>
    <row r="16" spans="1:23" x14ac:dyDescent="0.2">
      <c r="A16" s="2" t="s">
        <v>39</v>
      </c>
      <c r="B16" s="2" t="s">
        <v>40</v>
      </c>
      <c r="C16" s="5">
        <v>22</v>
      </c>
      <c r="D16" s="3">
        <v>18926.627810937909</v>
      </c>
      <c r="E16" s="3">
        <v>17.68181818181818</v>
      </c>
      <c r="F16" s="4">
        <v>4555764.3181818184</v>
      </c>
      <c r="G16" s="3">
        <v>0.27543609979606798</v>
      </c>
      <c r="H16" s="3">
        <v>5.9494918868655251</v>
      </c>
      <c r="I16" s="3">
        <v>0.42789333333333329</v>
      </c>
      <c r="J16" s="3">
        <v>73.732694484624687</v>
      </c>
      <c r="K16" s="3">
        <v>70.049894415893078</v>
      </c>
      <c r="L16" s="3">
        <v>72.995214529751294</v>
      </c>
      <c r="M16" s="3">
        <v>73.443679982599093</v>
      </c>
      <c r="N16" s="3">
        <v>0.44846545284779887</v>
      </c>
      <c r="O16" s="3">
        <v>3.881196863334428</v>
      </c>
      <c r="P16" s="3">
        <v>9.8483250883946756</v>
      </c>
      <c r="Q16" s="3">
        <v>1.5853904486740189</v>
      </c>
      <c r="R16" s="3">
        <v>9.8483250883946756</v>
      </c>
      <c r="S16" s="3">
        <v>0.27543609979606798</v>
      </c>
      <c r="T16" s="3">
        <v>5.9494918868655251</v>
      </c>
      <c r="U16" s="3">
        <v>1.5853904486740189</v>
      </c>
      <c r="V16" s="3">
        <v>0.42789333333333329</v>
      </c>
      <c r="W16" s="3">
        <v>73.732694484624687</v>
      </c>
    </row>
    <row r="17" spans="1:23" x14ac:dyDescent="0.2">
      <c r="A17" s="2" t="s">
        <v>41</v>
      </c>
      <c r="B17" s="2" t="s">
        <v>42</v>
      </c>
      <c r="C17" s="5">
        <v>22</v>
      </c>
      <c r="D17" s="3">
        <v>29140.492915301991</v>
      </c>
      <c r="E17" s="3">
        <v>250.40909090909091</v>
      </c>
      <c r="F17" s="4">
        <v>4205809.6363636367</v>
      </c>
      <c r="G17" s="3">
        <v>0.50258142323721033</v>
      </c>
      <c r="H17" s="3">
        <v>4.0844614335468838</v>
      </c>
      <c r="I17" s="3">
        <v>0.89480999999999999</v>
      </c>
      <c r="J17" s="3">
        <v>84.832236852263321</v>
      </c>
      <c r="K17" s="3">
        <v>77.336213901621264</v>
      </c>
      <c r="L17" s="3">
        <v>82.443467226890775</v>
      </c>
      <c r="M17" s="3">
        <v>82.389291783380003</v>
      </c>
      <c r="N17" s="3">
        <v>-5.417544351077197E-2</v>
      </c>
      <c r="O17" s="3">
        <v>59.538855193074269</v>
      </c>
      <c r="P17" s="3">
        <v>10.279883995024869</v>
      </c>
      <c r="Q17" s="3">
        <v>4.1032853934886839</v>
      </c>
      <c r="R17" s="3">
        <v>10.279883995024869</v>
      </c>
      <c r="S17" s="3">
        <v>0.50258142323721033</v>
      </c>
      <c r="T17" s="3">
        <v>4.0844614335468838</v>
      </c>
      <c r="U17" s="3">
        <v>4.1032853934886839</v>
      </c>
      <c r="V17" s="3">
        <v>0.89480999999999999</v>
      </c>
      <c r="W17" s="3">
        <v>84.832236852263321</v>
      </c>
    </row>
    <row r="18" spans="1:23" x14ac:dyDescent="0.2">
      <c r="A18" s="2" t="s">
        <v>43</v>
      </c>
      <c r="B18" s="2" t="s">
        <v>44</v>
      </c>
      <c r="C18" s="5">
        <v>22</v>
      </c>
      <c r="D18" s="3">
        <v>40807.634232954537</v>
      </c>
      <c r="E18" s="3">
        <v>6.0588235294117636</v>
      </c>
      <c r="F18" s="4">
        <v>1135801.5454545449</v>
      </c>
      <c r="G18" s="3">
        <v>1.168742301918211</v>
      </c>
      <c r="H18" s="3">
        <v>6.0583970308303829</v>
      </c>
      <c r="I18" s="3">
        <v>0.4639372727272727</v>
      </c>
      <c r="J18" s="3">
        <v>127.8718634980827</v>
      </c>
      <c r="K18" s="3">
        <v>70.558451309229994</v>
      </c>
      <c r="L18" s="3">
        <v>73.599996177188828</v>
      </c>
      <c r="M18" s="3">
        <v>73.75585951483157</v>
      </c>
      <c r="N18" s="3">
        <v>0.15586333764274229</v>
      </c>
      <c r="O18" s="3">
        <v>5.3344033151381538</v>
      </c>
      <c r="P18" s="3">
        <v>10.6166244564415</v>
      </c>
      <c r="Q18" s="3">
        <v>1.8459956207243149</v>
      </c>
      <c r="R18" s="3">
        <v>10.6166244564415</v>
      </c>
      <c r="S18" s="3">
        <v>1.168742301918211</v>
      </c>
      <c r="T18" s="3">
        <v>6.0583970308303829</v>
      </c>
      <c r="U18" s="3">
        <v>1.8459956207243149</v>
      </c>
      <c r="V18" s="3">
        <v>0.4639372727272727</v>
      </c>
      <c r="W18" s="3">
        <v>127.8718634980827</v>
      </c>
    </row>
    <row r="19" spans="1:23" x14ac:dyDescent="0.2">
      <c r="A19" s="2" t="s">
        <v>45</v>
      </c>
      <c r="B19" s="2" t="s">
        <v>46</v>
      </c>
      <c r="C19" s="5">
        <v>22</v>
      </c>
      <c r="D19" s="3">
        <v>39205.726829963358</v>
      </c>
      <c r="E19" s="3">
        <v>721.63636363636363</v>
      </c>
      <c r="F19" s="4">
        <v>10425924.09090909</v>
      </c>
      <c r="G19" s="3">
        <v>0.92869786421457989</v>
      </c>
      <c r="H19" s="3">
        <v>4.2017668160525243</v>
      </c>
      <c r="I19" s="3">
        <v>1.51969</v>
      </c>
      <c r="J19" s="3">
        <v>128.20384013884609</v>
      </c>
      <c r="K19" s="3">
        <v>79.478383370228258</v>
      </c>
      <c r="L19" s="3">
        <v>82.556665796356413</v>
      </c>
      <c r="M19" s="3">
        <v>81.93560967978101</v>
      </c>
      <c r="N19" s="3">
        <v>-0.62105611657540294</v>
      </c>
      <c r="O19" s="3">
        <v>69.21557814386891</v>
      </c>
      <c r="P19" s="3">
        <v>10.576578107709169</v>
      </c>
      <c r="Q19" s="3">
        <v>4.2515701972945106</v>
      </c>
      <c r="R19" s="3">
        <v>10.576578107709169</v>
      </c>
      <c r="S19" s="3">
        <v>0.92869786421457989</v>
      </c>
      <c r="T19" s="3">
        <v>4.2017668160525243</v>
      </c>
      <c r="U19" s="3">
        <v>4.2515701972945106</v>
      </c>
      <c r="V19" s="3">
        <v>1.51969</v>
      </c>
      <c r="W19" s="3">
        <v>128.20384013884609</v>
      </c>
    </row>
    <row r="20" spans="1:23" x14ac:dyDescent="0.2">
      <c r="A20" s="2" t="s">
        <v>47</v>
      </c>
      <c r="B20" s="2" t="s">
        <v>48</v>
      </c>
      <c r="C20" s="5">
        <v>22</v>
      </c>
      <c r="D20" s="3">
        <v>62170.87110920823</v>
      </c>
      <c r="E20" s="3">
        <v>1532.545454545455</v>
      </c>
      <c r="F20" s="4">
        <v>5574781.2272727285</v>
      </c>
      <c r="G20" s="3">
        <v>2.0102171954654509</v>
      </c>
      <c r="H20" s="3">
        <v>7.8309866814386284</v>
      </c>
      <c r="I20" s="3">
        <v>2.7466436363636371</v>
      </c>
      <c r="J20" s="3">
        <v>97.763894197748371</v>
      </c>
      <c r="K20" s="3">
        <v>82.961390756013145</v>
      </c>
      <c r="L20" s="3">
        <v>84.913087692046517</v>
      </c>
      <c r="M20" s="3">
        <v>85.256608318478911</v>
      </c>
      <c r="N20" s="3">
        <v>0.34352062643239378</v>
      </c>
      <c r="O20" s="3">
        <v>274.90683348218141</v>
      </c>
      <c r="P20" s="3">
        <v>11.03764185889448</v>
      </c>
      <c r="Q20" s="3">
        <v>5.6200632488838318</v>
      </c>
      <c r="R20" s="3">
        <v>11.03764185889448</v>
      </c>
      <c r="S20" s="3">
        <v>2.0102171954654509</v>
      </c>
      <c r="T20" s="3">
        <v>7.8309866814386284</v>
      </c>
      <c r="U20" s="3">
        <v>5.6200632488838318</v>
      </c>
      <c r="V20" s="3">
        <v>2.7466436363636371</v>
      </c>
      <c r="W20" s="3">
        <v>97.763894197748371</v>
      </c>
    </row>
    <row r="21" spans="1:23" x14ac:dyDescent="0.2">
      <c r="A21" s="2" t="s">
        <v>49</v>
      </c>
      <c r="B21" s="2" t="s">
        <v>50</v>
      </c>
      <c r="C21" s="5">
        <v>22</v>
      </c>
      <c r="D21" s="3">
        <v>12582.54824061235</v>
      </c>
      <c r="E21" s="3">
        <v>679.04761904761904</v>
      </c>
      <c r="F21" s="4">
        <v>91250327.681818187</v>
      </c>
      <c r="G21" s="3">
        <v>-0.4504870559488024</v>
      </c>
      <c r="H21" s="3">
        <v>4.3096666336059544</v>
      </c>
      <c r="I21" s="3">
        <v>0.52918947368421054</v>
      </c>
      <c r="J21" s="3">
        <v>45.897180626890332</v>
      </c>
      <c r="K21" s="3">
        <v>65.232358363620932</v>
      </c>
      <c r="L21" s="3">
        <v>67.798087080892969</v>
      </c>
      <c r="M21" s="3">
        <v>68.091049849333672</v>
      </c>
      <c r="N21" s="3">
        <v>0.29296276844070229</v>
      </c>
      <c r="O21" s="3">
        <v>7.4415910199840356</v>
      </c>
      <c r="P21" s="3">
        <v>9.4400660725881167</v>
      </c>
      <c r="Q21" s="3">
        <v>2.1331708003189691</v>
      </c>
      <c r="R21" s="3">
        <v>9.4400660725881167</v>
      </c>
      <c r="S21" s="3">
        <v>-0.4504870559488024</v>
      </c>
      <c r="T21" s="3">
        <v>4.3096666336059544</v>
      </c>
      <c r="U21" s="3">
        <v>2.1331708003189691</v>
      </c>
      <c r="V21" s="3">
        <v>0.52918947368421054</v>
      </c>
      <c r="W21" s="3">
        <v>45.897180626890332</v>
      </c>
    </row>
    <row r="22" spans="1:23" x14ac:dyDescent="0.2">
      <c r="A22" s="2" t="s">
        <v>51</v>
      </c>
      <c r="B22" s="2" t="s">
        <v>52</v>
      </c>
      <c r="C22" s="5">
        <v>22</v>
      </c>
      <c r="D22" s="3">
        <v>33177.367030495807</v>
      </c>
      <c r="E22" s="3">
        <v>34.909090909090907</v>
      </c>
      <c r="F22" s="4">
        <v>1340166</v>
      </c>
      <c r="G22" s="3">
        <v>1.0264246974672591</v>
      </c>
      <c r="H22" s="3">
        <v>5.10698143641154</v>
      </c>
      <c r="I22" s="3">
        <v>1.320935</v>
      </c>
      <c r="J22" s="3">
        <v>141.53158038338441</v>
      </c>
      <c r="K22" s="3">
        <v>76.596867706669457</v>
      </c>
      <c r="L22" s="3">
        <v>80.337069126135304</v>
      </c>
      <c r="M22" s="3">
        <v>80.760673525167647</v>
      </c>
      <c r="N22" s="3">
        <v>0.42360439903234243</v>
      </c>
      <c r="O22" s="3">
        <v>26.048333496813761</v>
      </c>
      <c r="P22" s="3">
        <v>10.40962320648168</v>
      </c>
      <c r="Q22" s="3">
        <v>3.2976253951437471</v>
      </c>
      <c r="R22" s="3">
        <v>10.40962320648168</v>
      </c>
      <c r="S22" s="3">
        <v>1.0264246974672591</v>
      </c>
      <c r="T22" s="3">
        <v>5.10698143641154</v>
      </c>
      <c r="U22" s="3">
        <v>3.2976253951437471</v>
      </c>
      <c r="V22" s="3">
        <v>1.320935</v>
      </c>
      <c r="W22" s="3">
        <v>141.53158038338441</v>
      </c>
    </row>
    <row r="23" spans="1:23" x14ac:dyDescent="0.2">
      <c r="A23" s="2" t="s">
        <v>53</v>
      </c>
      <c r="B23" s="2" t="s">
        <v>54</v>
      </c>
      <c r="C23" s="5">
        <v>22</v>
      </c>
      <c r="D23" s="3">
        <v>53477.613925220983</v>
      </c>
      <c r="E23" s="3">
        <v>1729.772727272727</v>
      </c>
      <c r="F23" s="4">
        <v>5368916.9545454541</v>
      </c>
      <c r="G23" s="3">
        <v>2.0637061368851422</v>
      </c>
      <c r="H23" s="3">
        <v>6.3940127112648701</v>
      </c>
      <c r="I23" s="3">
        <v>3.203737272727273</v>
      </c>
      <c r="J23" s="3">
        <v>75.83478115047734</v>
      </c>
      <c r="K23" s="3">
        <v>84.953574260958888</v>
      </c>
      <c r="L23" s="3">
        <v>86.762526130405547</v>
      </c>
      <c r="M23" s="3">
        <v>87.022461629710165</v>
      </c>
      <c r="N23" s="3">
        <v>0.25993549930461768</v>
      </c>
      <c r="O23" s="3">
        <v>322.18280556719361</v>
      </c>
      <c r="P23" s="3">
        <v>10.88701841401301</v>
      </c>
      <c r="Q23" s="3">
        <v>5.7782181246351838</v>
      </c>
      <c r="R23" s="3">
        <v>10.88701841401301</v>
      </c>
      <c r="S23" s="3">
        <v>2.0637061368851422</v>
      </c>
      <c r="T23" s="3">
        <v>6.3940127112648701</v>
      </c>
      <c r="U23" s="3">
        <v>5.7782181246351838</v>
      </c>
      <c r="V23" s="3">
        <v>3.203737272727273</v>
      </c>
      <c r="W23" s="3">
        <v>75.83478115047734</v>
      </c>
    </row>
    <row r="24" spans="1:23" x14ac:dyDescent="0.2">
      <c r="A24" s="2" t="s">
        <v>55</v>
      </c>
      <c r="B24" s="2" t="s">
        <v>56</v>
      </c>
      <c r="C24" s="5">
        <v>22</v>
      </c>
      <c r="D24" s="3">
        <v>49568.038775740722</v>
      </c>
      <c r="E24" s="3">
        <v>14163.09090909091</v>
      </c>
      <c r="F24" s="4">
        <v>64884713</v>
      </c>
      <c r="G24" s="3">
        <v>1.467586358388266</v>
      </c>
      <c r="H24" s="3">
        <v>5.4665539741516103</v>
      </c>
      <c r="I24" s="3">
        <v>2.166381363636364</v>
      </c>
      <c r="J24" s="3">
        <v>59.561662886405742</v>
      </c>
      <c r="K24" s="3">
        <v>79.767984070942433</v>
      </c>
      <c r="L24" s="3">
        <v>82.994768531958243</v>
      </c>
      <c r="M24" s="3">
        <v>83.139233284525929</v>
      </c>
      <c r="N24" s="3">
        <v>0.14446475256768571</v>
      </c>
      <c r="O24" s="3">
        <v>218.28085930026239</v>
      </c>
      <c r="P24" s="3">
        <v>10.811101525489949</v>
      </c>
      <c r="Q24" s="3">
        <v>5.3903533707220879</v>
      </c>
      <c r="R24" s="3">
        <v>10.811101525489949</v>
      </c>
      <c r="S24" s="3">
        <v>1.467586358388266</v>
      </c>
      <c r="T24" s="3">
        <v>5.4665539741516103</v>
      </c>
      <c r="U24" s="3">
        <v>5.3903533707220879</v>
      </c>
      <c r="V24" s="3">
        <v>2.166381363636364</v>
      </c>
      <c r="W24" s="3">
        <v>59.561662886405742</v>
      </c>
    </row>
    <row r="25" spans="1:23" x14ac:dyDescent="0.2">
      <c r="A25" s="2" t="s">
        <v>57</v>
      </c>
      <c r="B25" s="2" t="s">
        <v>58</v>
      </c>
      <c r="C25" s="5">
        <v>22</v>
      </c>
      <c r="D25" s="3">
        <v>12095.976751373481</v>
      </c>
      <c r="E25" s="3">
        <v>164.72727272727269</v>
      </c>
      <c r="F25" s="4">
        <v>3819220.4545454551</v>
      </c>
      <c r="G25" s="3">
        <v>0.21463578939437869</v>
      </c>
      <c r="H25" s="3">
        <v>2.8919397374938098</v>
      </c>
      <c r="I25" s="3">
        <v>0.23131199999999999</v>
      </c>
      <c r="J25" s="3">
        <v>88.324985755179569</v>
      </c>
      <c r="K25" s="3">
        <v>69.388030382896957</v>
      </c>
      <c r="L25" s="3">
        <v>73.368597387742994</v>
      </c>
      <c r="M25" s="3">
        <v>73.672216373822238</v>
      </c>
      <c r="N25" s="3">
        <v>0.30361898607924331</v>
      </c>
      <c r="O25" s="3">
        <v>43.131124450075177</v>
      </c>
      <c r="P25" s="3">
        <v>9.4006281764080004</v>
      </c>
      <c r="Q25" s="3">
        <v>3.7871653033573609</v>
      </c>
      <c r="R25" s="3">
        <v>9.4006281764080004</v>
      </c>
      <c r="S25" s="3">
        <v>0.21463578939437869</v>
      </c>
      <c r="T25" s="3">
        <v>2.8919397374938098</v>
      </c>
      <c r="U25" s="3">
        <v>3.7871653033573609</v>
      </c>
      <c r="V25" s="3">
        <v>0.23131199999999999</v>
      </c>
      <c r="W25" s="3">
        <v>88.324985755179569</v>
      </c>
    </row>
    <row r="26" spans="1:23" x14ac:dyDescent="0.2">
      <c r="A26" s="2" t="s">
        <v>59</v>
      </c>
      <c r="B26" s="2" t="s">
        <v>60</v>
      </c>
      <c r="C26" s="5">
        <v>22</v>
      </c>
      <c r="D26" s="3">
        <v>56203.587348146648</v>
      </c>
      <c r="E26" s="3">
        <v>47366.36363636364</v>
      </c>
      <c r="F26" s="4">
        <v>82108128.590909094</v>
      </c>
      <c r="G26" s="3">
        <v>1.5442636183329981</v>
      </c>
      <c r="H26" s="3">
        <v>4.9178522916940537</v>
      </c>
      <c r="I26" s="3">
        <v>2.7492086363636359</v>
      </c>
      <c r="J26" s="3">
        <v>72.005006232620275</v>
      </c>
      <c r="K26" s="3">
        <v>80.509770957956192</v>
      </c>
      <c r="L26" s="3">
        <v>83.247360294117655</v>
      </c>
      <c r="M26" s="3">
        <v>83.669599840845422</v>
      </c>
      <c r="N26" s="3">
        <v>0.42223954672776642</v>
      </c>
      <c r="O26" s="3">
        <v>576.87788589555043</v>
      </c>
      <c r="P26" s="3">
        <v>10.936735865662181</v>
      </c>
      <c r="Q26" s="3">
        <v>6.3593625762748083</v>
      </c>
      <c r="R26" s="3">
        <v>10.936735865662181</v>
      </c>
      <c r="S26" s="3">
        <v>1.5442636183329981</v>
      </c>
      <c r="T26" s="3">
        <v>4.9178522916940537</v>
      </c>
      <c r="U26" s="3">
        <v>6.3593625762748083</v>
      </c>
      <c r="V26" s="3">
        <v>2.7492086363636359</v>
      </c>
      <c r="W26" s="3">
        <v>72.005006232620275</v>
      </c>
    </row>
    <row r="27" spans="1:23" x14ac:dyDescent="0.2">
      <c r="A27" s="2" t="s">
        <v>61</v>
      </c>
      <c r="B27" s="2" t="s">
        <v>62</v>
      </c>
      <c r="C27" s="5">
        <v>22</v>
      </c>
      <c r="D27" s="3">
        <v>34713.744984754332</v>
      </c>
      <c r="E27" s="3">
        <v>517.9545454545455</v>
      </c>
      <c r="F27" s="4">
        <v>10904402.63636364</v>
      </c>
      <c r="G27" s="3">
        <v>0.46212427034264508</v>
      </c>
      <c r="H27" s="3">
        <v>3.5963110685348512</v>
      </c>
      <c r="I27" s="3">
        <v>0.84357900000000008</v>
      </c>
      <c r="J27" s="3">
        <v>60.916211000117187</v>
      </c>
      <c r="K27" s="3">
        <v>75.109476085916469</v>
      </c>
      <c r="L27" s="3">
        <v>78.880834101519383</v>
      </c>
      <c r="M27" s="3">
        <v>79.121656854256855</v>
      </c>
      <c r="N27" s="3">
        <v>0.240822752737472</v>
      </c>
      <c r="O27" s="3">
        <v>47.499580007004496</v>
      </c>
      <c r="P27" s="3">
        <v>10.454890996575189</v>
      </c>
      <c r="Q27" s="3">
        <v>3.8815551382565512</v>
      </c>
      <c r="R27" s="3">
        <v>10.454890996575189</v>
      </c>
      <c r="S27" s="3">
        <v>0.46212427034264508</v>
      </c>
      <c r="T27" s="3">
        <v>3.5963110685348512</v>
      </c>
      <c r="U27" s="3">
        <v>3.8815551382565512</v>
      </c>
      <c r="V27" s="3">
        <v>0.84357900000000008</v>
      </c>
      <c r="W27" s="3">
        <v>60.916211000117187</v>
      </c>
    </row>
    <row r="28" spans="1:23" x14ac:dyDescent="0.2">
      <c r="A28" s="2" t="s">
        <v>63</v>
      </c>
      <c r="B28" s="2" t="s">
        <v>64</v>
      </c>
      <c r="C28" s="5">
        <v>22</v>
      </c>
      <c r="D28" s="3">
        <v>10061.01401530946</v>
      </c>
      <c r="E28" s="3">
        <v>11.22727272727273</v>
      </c>
      <c r="F28" s="4">
        <v>14666788.90909091</v>
      </c>
      <c r="G28" s="3">
        <v>-0.7042904666491917</v>
      </c>
      <c r="H28" s="3">
        <v>3.0460033257802341</v>
      </c>
      <c r="I28" s="3">
        <v>4.2730588235294117E-2</v>
      </c>
      <c r="J28" s="3">
        <v>58.115416035930288</v>
      </c>
      <c r="K28" s="3">
        <v>56.565491362150922</v>
      </c>
      <c r="L28" s="3">
        <v>59.631920961718023</v>
      </c>
      <c r="M28" s="3">
        <v>59.863792343604118</v>
      </c>
      <c r="N28" s="3">
        <v>0.23187138188609421</v>
      </c>
      <c r="O28" s="3">
        <v>0.76548948763513835</v>
      </c>
      <c r="P28" s="3">
        <v>9.2164232353245232</v>
      </c>
      <c r="Q28" s="3">
        <v>0.56842798204126932</v>
      </c>
      <c r="R28" s="3">
        <v>9.2164232353245232</v>
      </c>
      <c r="S28" s="3">
        <v>-0.7042904666491917</v>
      </c>
      <c r="T28" s="3">
        <v>3.0460033257802341</v>
      </c>
      <c r="U28" s="3">
        <v>0.56842798204126932</v>
      </c>
      <c r="V28" s="3">
        <v>4.2730588235294117E-2</v>
      </c>
      <c r="W28" s="3">
        <v>58.115416035930288</v>
      </c>
    </row>
    <row r="29" spans="1:23" x14ac:dyDescent="0.2">
      <c r="A29" s="2" t="s">
        <v>65</v>
      </c>
      <c r="B29" s="2" t="s">
        <v>66</v>
      </c>
      <c r="C29" s="5">
        <v>22</v>
      </c>
      <c r="D29" s="3">
        <v>29704.388436921079</v>
      </c>
      <c r="E29" s="3">
        <v>645.18181818181813</v>
      </c>
      <c r="F29" s="4">
        <v>9938827.0454545449</v>
      </c>
      <c r="G29" s="3">
        <v>0.66217886124338421</v>
      </c>
      <c r="H29" s="3">
        <v>4.7919204885309394</v>
      </c>
      <c r="I29" s="3">
        <v>1.1712531818181819</v>
      </c>
      <c r="J29" s="3">
        <v>150.89431288079439</v>
      </c>
      <c r="K29" s="3">
        <v>79.428467432740874</v>
      </c>
      <c r="L29" s="3">
        <v>81.784664801517934</v>
      </c>
      <c r="M29" s="3">
        <v>80.373091641446791</v>
      </c>
      <c r="N29" s="3">
        <v>-1.411573160071143</v>
      </c>
      <c r="O29" s="3">
        <v>64.915287813252334</v>
      </c>
      <c r="P29" s="3">
        <v>10.299050072694421</v>
      </c>
      <c r="Q29" s="3">
        <v>4.1883703996306867</v>
      </c>
      <c r="R29" s="3">
        <v>10.299050072694421</v>
      </c>
      <c r="S29" s="3">
        <v>0.66217886124338421</v>
      </c>
      <c r="T29" s="3">
        <v>4.7919204885309394</v>
      </c>
      <c r="U29" s="3">
        <v>4.1883703996306867</v>
      </c>
      <c r="V29" s="3">
        <v>1.1712531818181819</v>
      </c>
      <c r="W29" s="3">
        <v>150.89431288079439</v>
      </c>
    </row>
    <row r="30" spans="1:23" x14ac:dyDescent="0.2">
      <c r="A30" s="2" t="s">
        <v>67</v>
      </c>
      <c r="B30" s="2" t="s">
        <v>68</v>
      </c>
      <c r="C30" s="5">
        <v>22</v>
      </c>
      <c r="D30" s="3">
        <v>58374.710493597733</v>
      </c>
      <c r="E30" s="3">
        <v>49.136363636363633</v>
      </c>
      <c r="F30" s="4">
        <v>320642.18181818182</v>
      </c>
      <c r="G30" s="3">
        <v>1.662239824022566</v>
      </c>
      <c r="H30" s="3">
        <v>7.3356676968661212</v>
      </c>
      <c r="I30" s="3">
        <v>2.4251921052631582</v>
      </c>
      <c r="J30" s="3">
        <v>82.593927189781311</v>
      </c>
      <c r="K30" s="3">
        <v>79.24049333142348</v>
      </c>
      <c r="L30" s="3">
        <v>80.346246848739497</v>
      </c>
      <c r="M30" s="3">
        <v>80.791794864612513</v>
      </c>
      <c r="N30" s="3">
        <v>0.4455480158730154</v>
      </c>
      <c r="O30" s="3">
        <v>153.2436043122552</v>
      </c>
      <c r="P30" s="3">
        <v>10.974638035534451</v>
      </c>
      <c r="Q30" s="3">
        <v>5.0385331987962516</v>
      </c>
      <c r="R30" s="3">
        <v>10.974638035534451</v>
      </c>
      <c r="S30" s="3">
        <v>1.662239824022566</v>
      </c>
      <c r="T30" s="3">
        <v>7.3356676968661212</v>
      </c>
      <c r="U30" s="3">
        <v>5.0385331987962516</v>
      </c>
      <c r="V30" s="3">
        <v>2.4251921052631582</v>
      </c>
      <c r="W30" s="3">
        <v>82.593927189781311</v>
      </c>
    </row>
    <row r="31" spans="1:23" x14ac:dyDescent="0.2">
      <c r="A31" s="2" t="s">
        <v>69</v>
      </c>
      <c r="B31" s="2" t="s">
        <v>70</v>
      </c>
      <c r="C31" s="5">
        <v>22</v>
      </c>
      <c r="D31" s="3">
        <v>5347.4985337136286</v>
      </c>
      <c r="E31" s="3">
        <v>10043.31818181818</v>
      </c>
      <c r="F31" s="4">
        <v>1247342183.636364</v>
      </c>
      <c r="G31" s="3">
        <v>-2.4889104090453648E-3</v>
      </c>
      <c r="H31" s="3">
        <v>3.8635233577620882</v>
      </c>
      <c r="I31" s="3">
        <v>0.73857428571428563</v>
      </c>
      <c r="J31" s="3">
        <v>42.565599505015832</v>
      </c>
      <c r="K31" s="3">
        <v>58.495794382904677</v>
      </c>
      <c r="L31" s="3">
        <v>65.669412931839389</v>
      </c>
      <c r="M31" s="3">
        <v>66.954602497665732</v>
      </c>
      <c r="N31" s="3">
        <v>1.285189565826343</v>
      </c>
      <c r="O31" s="3">
        <v>8.0517746562046</v>
      </c>
      <c r="P31" s="3">
        <v>8.5843841667561733</v>
      </c>
      <c r="Q31" s="3">
        <v>2.2029608330960428</v>
      </c>
      <c r="R31" s="3">
        <v>8.5843841667561733</v>
      </c>
      <c r="S31" s="3">
        <v>-2.4889104090453648E-3</v>
      </c>
      <c r="T31" s="3">
        <v>3.8635233577620882</v>
      </c>
      <c r="U31" s="3">
        <v>2.2029608330960428</v>
      </c>
      <c r="V31" s="3">
        <v>0.73857428571428563</v>
      </c>
      <c r="W31" s="3">
        <v>42.565599505015832</v>
      </c>
    </row>
    <row r="32" spans="1:23" x14ac:dyDescent="0.2">
      <c r="A32" s="2" t="s">
        <v>71</v>
      </c>
      <c r="B32" s="2" t="s">
        <v>72</v>
      </c>
      <c r="C32" s="5">
        <v>22</v>
      </c>
      <c r="D32" s="3">
        <v>9257.2434594892966</v>
      </c>
      <c r="E32" s="3">
        <v>794.33333333333337</v>
      </c>
      <c r="F32" s="4">
        <v>247567892.27272731</v>
      </c>
      <c r="G32" s="3">
        <v>-0.21132128942935249</v>
      </c>
      <c r="H32" s="3">
        <v>2.466330177719251</v>
      </c>
      <c r="I32" s="3">
        <v>0.17166222222222219</v>
      </c>
      <c r="J32" s="3">
        <v>50.409563652537372</v>
      </c>
      <c r="K32" s="3">
        <v>63.680775461548258</v>
      </c>
      <c r="L32" s="3">
        <v>69.510795168067219</v>
      </c>
      <c r="M32" s="3">
        <v>70.218873716153112</v>
      </c>
      <c r="N32" s="3">
        <v>0.70807854808589354</v>
      </c>
      <c r="O32" s="3">
        <v>3.2085474656716579</v>
      </c>
      <c r="P32" s="3">
        <v>9.133161600763426</v>
      </c>
      <c r="Q32" s="3">
        <v>1.4371175681307009</v>
      </c>
      <c r="R32" s="3">
        <v>9.133161600763426</v>
      </c>
      <c r="S32" s="3">
        <v>-0.21132128942935249</v>
      </c>
      <c r="T32" s="3">
        <v>2.466330177719251</v>
      </c>
      <c r="U32" s="3">
        <v>1.4371175681307009</v>
      </c>
      <c r="V32" s="3">
        <v>0.17166222222222219</v>
      </c>
      <c r="W32" s="3">
        <v>50.409563652537372</v>
      </c>
    </row>
    <row r="33" spans="1:23" x14ac:dyDescent="0.2">
      <c r="A33" s="2" t="s">
        <v>73</v>
      </c>
      <c r="B33" s="2" t="s">
        <v>74</v>
      </c>
      <c r="C33" s="5">
        <v>22</v>
      </c>
      <c r="D33" s="3">
        <v>14644.03542492741</v>
      </c>
      <c r="E33" s="3">
        <v>8928.7619047619046</v>
      </c>
      <c r="F33" s="4">
        <v>77754644.909090906</v>
      </c>
      <c r="G33" s="3">
        <v>-0.55424453743866531</v>
      </c>
      <c r="H33" s="3">
        <v>3.6607923961821052</v>
      </c>
      <c r="I33" s="3">
        <v>0.51077399999999995</v>
      </c>
      <c r="J33" s="3">
        <v>46.232711008867327</v>
      </c>
      <c r="K33" s="3">
        <v>65.209345658263302</v>
      </c>
      <c r="L33" s="3">
        <v>69.341351283846862</v>
      </c>
      <c r="M33" s="3">
        <v>69.55890011671336</v>
      </c>
      <c r="N33" s="3">
        <v>0.21754883286649829</v>
      </c>
      <c r="O33" s="3">
        <v>114.8325211336406</v>
      </c>
      <c r="P33" s="3">
        <v>9.5917883933117309</v>
      </c>
      <c r="Q33" s="3">
        <v>4.7521453645162461</v>
      </c>
      <c r="R33" s="3">
        <v>9.5917883933117309</v>
      </c>
      <c r="S33" s="3">
        <v>-0.55424453743866531</v>
      </c>
      <c r="T33" s="3">
        <v>3.6607923961821052</v>
      </c>
      <c r="U33" s="3">
        <v>4.7521453645162461</v>
      </c>
      <c r="V33" s="3">
        <v>0.51077399999999995</v>
      </c>
      <c r="W33" s="3">
        <v>46.232711008867327</v>
      </c>
    </row>
    <row r="34" spans="1:23" x14ac:dyDescent="0.2">
      <c r="A34" s="2" t="s">
        <v>75</v>
      </c>
      <c r="B34" s="2" t="s">
        <v>76</v>
      </c>
      <c r="C34" s="5">
        <v>22</v>
      </c>
      <c r="D34" s="3">
        <v>71203.154526814178</v>
      </c>
      <c r="E34" s="3">
        <v>70.833333333333329</v>
      </c>
      <c r="F34" s="4">
        <v>4493898.8636363633</v>
      </c>
      <c r="G34" s="3">
        <v>1.4718453827358431</v>
      </c>
      <c r="H34" s="3">
        <v>4.4179263331673368</v>
      </c>
      <c r="I34" s="3">
        <v>1.274843636363636</v>
      </c>
      <c r="J34" s="3">
        <v>192.5526577185787</v>
      </c>
      <c r="K34" s="3">
        <v>76.612049086163395</v>
      </c>
      <c r="L34" s="3">
        <v>78.154383672863105</v>
      </c>
      <c r="M34" s="3">
        <v>78.589964041677263</v>
      </c>
      <c r="N34" s="3">
        <v>0.43558036881415768</v>
      </c>
      <c r="O34" s="3">
        <v>15.76211113839277</v>
      </c>
      <c r="P34" s="3">
        <v>11.17329240157051</v>
      </c>
      <c r="Q34" s="3">
        <v>2.819121050032539</v>
      </c>
      <c r="R34" s="3">
        <v>11.17329240157051</v>
      </c>
      <c r="S34" s="3">
        <v>1.4718453827358431</v>
      </c>
      <c r="T34" s="3">
        <v>4.4179263331673368</v>
      </c>
      <c r="U34" s="3">
        <v>2.819121050032539</v>
      </c>
      <c r="V34" s="3">
        <v>1.274843636363636</v>
      </c>
      <c r="W34" s="3">
        <v>192.5526577185787</v>
      </c>
    </row>
    <row r="35" spans="1:23" x14ac:dyDescent="0.2">
      <c r="A35" s="2" t="s">
        <v>77</v>
      </c>
      <c r="B35" s="2" t="s">
        <v>78</v>
      </c>
      <c r="C35" s="5">
        <v>22</v>
      </c>
      <c r="D35" s="3">
        <v>38205.474949024698</v>
      </c>
      <c r="E35" s="3">
        <v>1411.727272727273</v>
      </c>
      <c r="F35" s="4">
        <v>7749672.7272727285</v>
      </c>
      <c r="G35" s="3">
        <v>1.2285537379128599</v>
      </c>
      <c r="H35" s="3">
        <v>5.8200786330483174</v>
      </c>
      <c r="I35" s="3">
        <v>4.3456390909090912</v>
      </c>
      <c r="J35" s="3">
        <v>65.227511490758147</v>
      </c>
      <c r="K35" s="3">
        <v>71.755273040848039</v>
      </c>
      <c r="L35" s="3">
        <v>74.479993783667297</v>
      </c>
      <c r="M35" s="3">
        <v>74.458852174459551</v>
      </c>
      <c r="N35" s="3">
        <v>-2.114160920774566E-2</v>
      </c>
      <c r="O35" s="3">
        <v>182.1660504138591</v>
      </c>
      <c r="P35" s="3">
        <v>10.550734107597769</v>
      </c>
      <c r="Q35" s="3">
        <v>5.2103931207323768</v>
      </c>
      <c r="R35" s="3">
        <v>10.550734107597769</v>
      </c>
      <c r="S35" s="3">
        <v>1.2285537379128599</v>
      </c>
      <c r="T35" s="3">
        <v>5.8200786330483174</v>
      </c>
      <c r="U35" s="3">
        <v>5.2103931207323768</v>
      </c>
      <c r="V35" s="3">
        <v>4.3456390909090912</v>
      </c>
      <c r="W35" s="3">
        <v>65.227511490758147</v>
      </c>
    </row>
    <row r="36" spans="1:23" x14ac:dyDescent="0.2">
      <c r="A36" s="2" t="s">
        <v>79</v>
      </c>
      <c r="B36" s="2" t="s">
        <v>80</v>
      </c>
      <c r="C36" s="5">
        <v>22</v>
      </c>
      <c r="D36" s="3">
        <v>49610.306522022329</v>
      </c>
      <c r="E36" s="3">
        <v>8902.3333333333339</v>
      </c>
      <c r="F36" s="4">
        <v>59081470.863636367</v>
      </c>
      <c r="G36" s="3">
        <v>0.47799112399419158</v>
      </c>
      <c r="H36" s="3">
        <v>4.2413458932529799</v>
      </c>
      <c r="I36" s="3">
        <v>1.2311427272727271</v>
      </c>
      <c r="J36" s="3">
        <v>53.030376780023722</v>
      </c>
      <c r="K36" s="3">
        <v>76.534426527594505</v>
      </c>
      <c r="L36" s="3">
        <v>79.877581943383419</v>
      </c>
      <c r="M36" s="3">
        <v>80.260133471267295</v>
      </c>
      <c r="N36" s="3">
        <v>0.38255152788387647</v>
      </c>
      <c r="O36" s="3">
        <v>150.6789388145136</v>
      </c>
      <c r="P36" s="3">
        <v>10.8119538839098</v>
      </c>
      <c r="Q36" s="3">
        <v>5.0217660422699071</v>
      </c>
      <c r="R36" s="3">
        <v>10.8119538839098</v>
      </c>
      <c r="S36" s="3">
        <v>0.47799112399419158</v>
      </c>
      <c r="T36" s="3">
        <v>4.2413458932529799</v>
      </c>
      <c r="U36" s="3">
        <v>5.0217660422699071</v>
      </c>
      <c r="V36" s="3">
        <v>1.2311427272727271</v>
      </c>
      <c r="W36" s="3">
        <v>53.030376780023722</v>
      </c>
    </row>
    <row r="37" spans="1:23" x14ac:dyDescent="0.2">
      <c r="A37" s="2" t="s">
        <v>81</v>
      </c>
      <c r="B37" s="2" t="s">
        <v>82</v>
      </c>
      <c r="C37" s="5">
        <v>22</v>
      </c>
      <c r="D37" s="3">
        <v>41812.466485017423</v>
      </c>
      <c r="E37" s="3">
        <v>303394.22727272729</v>
      </c>
      <c r="F37" s="4">
        <v>127340117.8636364</v>
      </c>
      <c r="G37" s="3">
        <v>1.471294215747289</v>
      </c>
      <c r="H37" s="3">
        <v>3.3437456971123098</v>
      </c>
      <c r="I37" s="3">
        <v>3.1583709090909089</v>
      </c>
      <c r="J37" s="3">
        <v>29.717161351050851</v>
      </c>
      <c r="K37" s="3">
        <v>78.206784157190114</v>
      </c>
      <c r="L37" s="3">
        <v>80.060892330382018</v>
      </c>
      <c r="M37" s="3">
        <v>80.661850830705248</v>
      </c>
      <c r="N37" s="3">
        <v>0.60095850032323028</v>
      </c>
      <c r="O37" s="3">
        <v>2382.550231323175</v>
      </c>
      <c r="P37" s="3">
        <v>10.640949815316119</v>
      </c>
      <c r="Q37" s="3">
        <v>7.776346349028719</v>
      </c>
      <c r="R37" s="3">
        <v>10.640949815316119</v>
      </c>
      <c r="S37" s="3">
        <v>1.471294215747289</v>
      </c>
      <c r="T37" s="3">
        <v>3.3437456971123098</v>
      </c>
      <c r="U37" s="3">
        <v>7.776346349028719</v>
      </c>
      <c r="V37" s="3">
        <v>3.1583709090909089</v>
      </c>
      <c r="W37" s="3">
        <v>29.717161351050851</v>
      </c>
    </row>
    <row r="38" spans="1:23" x14ac:dyDescent="0.2">
      <c r="A38" s="2" t="s">
        <v>83</v>
      </c>
      <c r="B38" s="2" t="s">
        <v>84</v>
      </c>
      <c r="C38" s="5">
        <v>22</v>
      </c>
      <c r="D38" s="3">
        <v>25688.94868588238</v>
      </c>
      <c r="E38" s="3">
        <v>1432.6315789473681</v>
      </c>
      <c r="F38" s="4">
        <v>17216167.90909091</v>
      </c>
      <c r="G38" s="3">
        <v>-0.40940834457675601</v>
      </c>
      <c r="H38" s="3">
        <v>3.135722400093758</v>
      </c>
      <c r="I38" s="3">
        <v>0.18537454545454549</v>
      </c>
      <c r="J38" s="3">
        <v>77.159970486468936</v>
      </c>
      <c r="K38" s="3">
        <v>68.015639099702383</v>
      </c>
      <c r="L38" s="3">
        <v>71.373615624999985</v>
      </c>
      <c r="M38" s="3">
        <v>71.517850931584761</v>
      </c>
      <c r="N38" s="3">
        <v>0.14423530658477551</v>
      </c>
      <c r="O38" s="3">
        <v>83.214312645665728</v>
      </c>
      <c r="P38" s="3">
        <v>10.15381616617907</v>
      </c>
      <c r="Q38" s="3">
        <v>4.4333648907179226</v>
      </c>
      <c r="R38" s="3">
        <v>10.15381616617907</v>
      </c>
      <c r="S38" s="3">
        <v>-0.40940834457675601</v>
      </c>
      <c r="T38" s="3">
        <v>3.135722400093758</v>
      </c>
      <c r="U38" s="3">
        <v>4.4333648907179226</v>
      </c>
      <c r="V38" s="3">
        <v>0.18537454545454549</v>
      </c>
      <c r="W38" s="3">
        <v>77.159970486468936</v>
      </c>
    </row>
    <row r="39" spans="1:23" x14ac:dyDescent="0.2">
      <c r="A39" s="2" t="s">
        <v>85</v>
      </c>
      <c r="B39" s="2" t="s">
        <v>86</v>
      </c>
      <c r="C39" s="5">
        <v>22</v>
      </c>
      <c r="D39" s="3">
        <v>4335.0783333539821</v>
      </c>
      <c r="E39" s="3">
        <v>117.6</v>
      </c>
      <c r="F39" s="4">
        <v>42007527.454545453</v>
      </c>
      <c r="G39" s="3">
        <v>-0.53891264540808548</v>
      </c>
      <c r="H39" s="3">
        <v>5.4348475122871323</v>
      </c>
      <c r="I39" s="3">
        <v>0.52371499999999993</v>
      </c>
      <c r="J39" s="3">
        <v>47.817724246444897</v>
      </c>
      <c r="K39" s="3">
        <v>55.924861482471783</v>
      </c>
      <c r="L39" s="3">
        <v>60.783007236227817</v>
      </c>
      <c r="M39" s="3">
        <v>61.928932492997177</v>
      </c>
      <c r="N39" s="3">
        <v>1.1459252567693601</v>
      </c>
      <c r="O39" s="3">
        <v>2.7994982596214428</v>
      </c>
      <c r="P39" s="3">
        <v>8.3744949590292332</v>
      </c>
      <c r="Q39" s="3">
        <v>1.3348690210729699</v>
      </c>
      <c r="R39" s="3">
        <v>8.3744949590292332</v>
      </c>
      <c r="S39" s="3">
        <v>-0.53891264540808548</v>
      </c>
      <c r="T39" s="3">
        <v>5.4348475122871323</v>
      </c>
      <c r="U39" s="3">
        <v>1.3348690210729699</v>
      </c>
      <c r="V39" s="3">
        <v>0.52371499999999993</v>
      </c>
      <c r="W39" s="3">
        <v>47.817724246444897</v>
      </c>
    </row>
    <row r="40" spans="1:23" x14ac:dyDescent="0.2">
      <c r="A40" s="2" t="s">
        <v>87</v>
      </c>
      <c r="B40" s="2" t="s">
        <v>88</v>
      </c>
      <c r="C40" s="5">
        <v>22</v>
      </c>
      <c r="D40" s="3">
        <v>39514.322095015203</v>
      </c>
      <c r="E40" s="3">
        <v>135553.09090909091</v>
      </c>
      <c r="F40" s="4">
        <v>49685607.636363633</v>
      </c>
      <c r="G40" s="3">
        <v>1.0379194759187229</v>
      </c>
      <c r="H40" s="3">
        <v>4.5609013693673273</v>
      </c>
      <c r="I40" s="3">
        <v>3.4306745454545449</v>
      </c>
      <c r="J40" s="3">
        <v>75.790754602481456</v>
      </c>
      <c r="K40" s="3">
        <v>75.312239233642174</v>
      </c>
      <c r="L40" s="3">
        <v>77.70944668354521</v>
      </c>
      <c r="M40" s="3">
        <v>78.11618382532501</v>
      </c>
      <c r="N40" s="3">
        <v>0.40673714177980003</v>
      </c>
      <c r="O40" s="3">
        <v>2728.2164263979548</v>
      </c>
      <c r="P40" s="3">
        <v>10.5844184698552</v>
      </c>
      <c r="Q40" s="3">
        <v>7.9117698236824827</v>
      </c>
      <c r="R40" s="3">
        <v>10.5844184698552</v>
      </c>
      <c r="S40" s="3">
        <v>1.0379194759187229</v>
      </c>
      <c r="T40" s="3">
        <v>4.5609013693673273</v>
      </c>
      <c r="U40" s="3">
        <v>7.9117698236824827</v>
      </c>
      <c r="V40" s="3">
        <v>3.4306745454545449</v>
      </c>
      <c r="W40" s="3">
        <v>75.790754602481456</v>
      </c>
    </row>
    <row r="41" spans="1:23" x14ac:dyDescent="0.2">
      <c r="A41" s="2" t="s">
        <v>89</v>
      </c>
      <c r="B41" s="2" t="s">
        <v>90</v>
      </c>
      <c r="C41" s="5">
        <v>22</v>
      </c>
      <c r="D41" s="3">
        <v>4936.1478985542826</v>
      </c>
      <c r="E41" s="3">
        <v>116.3333333333333</v>
      </c>
      <c r="F41" s="4">
        <v>5673765</v>
      </c>
      <c r="G41" s="3">
        <v>-0.7292909976981935</v>
      </c>
      <c r="H41" s="3">
        <v>5.5626617670059213</v>
      </c>
      <c r="I41" s="3">
        <v>0.15419045454545449</v>
      </c>
      <c r="J41" s="3">
        <v>109.746744599153</v>
      </c>
      <c r="K41" s="3">
        <v>69.895955115891056</v>
      </c>
      <c r="L41" s="3">
        <v>74.214399751984118</v>
      </c>
      <c r="M41" s="3">
        <v>74.503562789661302</v>
      </c>
      <c r="N41" s="3">
        <v>0.28916303767718432</v>
      </c>
      <c r="O41" s="3">
        <v>20.503727830344271</v>
      </c>
      <c r="P41" s="3">
        <v>8.5043405283766678</v>
      </c>
      <c r="Q41" s="3">
        <v>3.068226307561623</v>
      </c>
      <c r="R41" s="3">
        <v>8.5043405283766678</v>
      </c>
      <c r="S41" s="3">
        <v>-0.7292909976981935</v>
      </c>
      <c r="T41" s="3">
        <v>5.5626617670059213</v>
      </c>
      <c r="U41" s="3">
        <v>3.068226307561623</v>
      </c>
      <c r="V41" s="3">
        <v>0.15419045454545449</v>
      </c>
      <c r="W41" s="3">
        <v>109.746744599153</v>
      </c>
    </row>
    <row r="42" spans="1:23" x14ac:dyDescent="0.2">
      <c r="A42" s="2" t="s">
        <v>91</v>
      </c>
      <c r="B42" s="2" t="s">
        <v>92</v>
      </c>
      <c r="C42" s="5">
        <v>22</v>
      </c>
      <c r="D42" s="3">
        <v>26812.694806636649</v>
      </c>
      <c r="E42" s="3">
        <v>133.31818181818181</v>
      </c>
      <c r="F42" s="4">
        <v>2102077.3181818179</v>
      </c>
      <c r="G42" s="3">
        <v>0.72911859055360129</v>
      </c>
      <c r="H42" s="3">
        <v>5.3221181006658629</v>
      </c>
      <c r="I42" s="3">
        <v>0.56202090909090907</v>
      </c>
      <c r="J42" s="3">
        <v>112.06521548712141</v>
      </c>
      <c r="K42" s="3">
        <v>77.542071422591079</v>
      </c>
      <c r="L42" s="3">
        <v>80.690937388591792</v>
      </c>
      <c r="M42" s="3">
        <v>81.191025447754868</v>
      </c>
      <c r="N42" s="3">
        <v>0.50008805916307608</v>
      </c>
      <c r="O42" s="3">
        <v>63.422111387175207</v>
      </c>
      <c r="P42" s="3">
        <v>10.196630741159559</v>
      </c>
      <c r="Q42" s="3">
        <v>4.1654569187024206</v>
      </c>
      <c r="R42" s="3">
        <v>10.196630741159559</v>
      </c>
      <c r="S42" s="3">
        <v>0.72911859055360129</v>
      </c>
      <c r="T42" s="3">
        <v>5.3221181006658629</v>
      </c>
      <c r="U42" s="3">
        <v>4.1654569187024206</v>
      </c>
      <c r="V42" s="3">
        <v>0.56202090909090907</v>
      </c>
      <c r="W42" s="3">
        <v>112.06521548712141</v>
      </c>
    </row>
    <row r="43" spans="1:23" x14ac:dyDescent="0.2">
      <c r="A43" s="2" t="s">
        <v>93</v>
      </c>
      <c r="B43" s="2" t="s">
        <v>94</v>
      </c>
      <c r="C43" s="5">
        <v>22</v>
      </c>
      <c r="D43" s="3">
        <v>30290.412525210351</v>
      </c>
      <c r="E43" s="3">
        <v>86.36363636363636</v>
      </c>
      <c r="F43" s="4">
        <v>3103806.2272727271</v>
      </c>
      <c r="G43" s="3">
        <v>0.79255735838697106</v>
      </c>
      <c r="H43" s="3">
        <v>4.7420047691890179</v>
      </c>
      <c r="I43" s="3">
        <v>0.85429863636363634</v>
      </c>
      <c r="J43" s="3">
        <v>127.7793528621232</v>
      </c>
      <c r="K43" s="3">
        <v>75.282893512184486</v>
      </c>
      <c r="L43" s="3">
        <v>77.690405595874722</v>
      </c>
      <c r="M43" s="3">
        <v>78.808598198370262</v>
      </c>
      <c r="N43" s="3">
        <v>1.11819260249554</v>
      </c>
      <c r="O43" s="3">
        <v>27.825073487117439</v>
      </c>
      <c r="P43" s="3">
        <v>10.318586523116741</v>
      </c>
      <c r="Q43" s="3">
        <v>3.361245615574854</v>
      </c>
      <c r="R43" s="3">
        <v>10.318586523116741</v>
      </c>
      <c r="S43" s="3">
        <v>0.79255735838697106</v>
      </c>
      <c r="T43" s="3">
        <v>4.7420047691890179</v>
      </c>
      <c r="U43" s="3">
        <v>3.361245615574854</v>
      </c>
      <c r="V43" s="3">
        <v>0.85429863636363634</v>
      </c>
      <c r="W43" s="3">
        <v>127.7793528621232</v>
      </c>
    </row>
    <row r="44" spans="1:23" x14ac:dyDescent="0.2">
      <c r="A44" s="2" t="s">
        <v>95</v>
      </c>
      <c r="B44" s="2" t="s">
        <v>96</v>
      </c>
      <c r="C44" s="5">
        <v>22</v>
      </c>
      <c r="D44" s="3">
        <v>128606.8053343005</v>
      </c>
      <c r="E44" s="3">
        <v>83.63636363636364</v>
      </c>
      <c r="F44" s="4">
        <v>524557.22727272729</v>
      </c>
      <c r="G44" s="3">
        <v>1.7225171554656249</v>
      </c>
      <c r="H44" s="3">
        <v>3.7221700085533969</v>
      </c>
      <c r="I44" s="3">
        <v>1.3731774999999999</v>
      </c>
      <c r="J44" s="3">
        <v>313.4714962445417</v>
      </c>
      <c r="K44" s="3">
        <v>73.455531715183497</v>
      </c>
      <c r="L44" s="3">
        <v>76.712427272727268</v>
      </c>
      <c r="M44" s="3">
        <v>76.72567524722011</v>
      </c>
      <c r="N44" s="3">
        <v>1.324797449284176E-2</v>
      </c>
      <c r="O44" s="3">
        <v>159.4418288185733</v>
      </c>
      <c r="P44" s="3">
        <v>11.764515008003711</v>
      </c>
      <c r="Q44" s="3">
        <v>5.0779314396063544</v>
      </c>
      <c r="R44" s="3">
        <v>11.764515008003711</v>
      </c>
      <c r="S44" s="3">
        <v>1.7225171554656249</v>
      </c>
      <c r="T44" s="3">
        <v>3.7221700085533969</v>
      </c>
      <c r="U44" s="3">
        <v>5.0779314396063544</v>
      </c>
      <c r="V44" s="3">
        <v>1.3731774999999999</v>
      </c>
      <c r="W44" s="3">
        <v>313.4714962445417</v>
      </c>
    </row>
    <row r="45" spans="1:23" x14ac:dyDescent="0.2">
      <c r="A45" s="2" t="s">
        <v>97</v>
      </c>
      <c r="B45" s="2" t="s">
        <v>98</v>
      </c>
      <c r="C45" s="5">
        <v>22</v>
      </c>
      <c r="D45" s="3">
        <v>1646.818649119502</v>
      </c>
      <c r="E45" s="3">
        <v>6.45</v>
      </c>
      <c r="F45" s="4">
        <v>22703356.13636364</v>
      </c>
      <c r="G45" s="3">
        <v>-0.89914746085802699</v>
      </c>
      <c r="H45" s="3">
        <v>2.6500831329583421</v>
      </c>
      <c r="I45" s="3">
        <v>0.123776</v>
      </c>
      <c r="J45" s="3">
        <v>56.769055635059622</v>
      </c>
      <c r="K45" s="3">
        <v>48.080864294039287</v>
      </c>
      <c r="L45" s="3">
        <v>51.212910838181443</v>
      </c>
      <c r="M45" s="3">
        <v>51.048877847805777</v>
      </c>
      <c r="N45" s="3">
        <v>-0.16403299037566649</v>
      </c>
      <c r="O45" s="3">
        <v>0.28409896586474842</v>
      </c>
      <c r="P45" s="3">
        <v>7.406600614290884</v>
      </c>
      <c r="Q45" s="3">
        <v>0.25005727851620169</v>
      </c>
      <c r="R45" s="3">
        <v>7.406600614290884</v>
      </c>
      <c r="S45" s="3">
        <v>-0.89914746085802699</v>
      </c>
      <c r="T45" s="3">
        <v>2.6500831329583421</v>
      </c>
      <c r="U45" s="3">
        <v>0.25005727851620169</v>
      </c>
      <c r="V45" s="3">
        <v>0.123776</v>
      </c>
      <c r="W45" s="3">
        <v>56.769055635059622</v>
      </c>
    </row>
    <row r="46" spans="1:23" x14ac:dyDescent="0.2">
      <c r="A46" s="2" t="s">
        <v>99</v>
      </c>
      <c r="B46" s="2" t="s">
        <v>100</v>
      </c>
      <c r="C46" s="5">
        <v>22</v>
      </c>
      <c r="D46" s="3">
        <v>24358.764476023978</v>
      </c>
      <c r="E46" s="3">
        <v>865.9545454545455</v>
      </c>
      <c r="F46" s="4">
        <v>28806050.27272727</v>
      </c>
      <c r="G46" s="3">
        <v>1.001899804387774</v>
      </c>
      <c r="H46" s="3">
        <v>5.3154954720872292</v>
      </c>
      <c r="I46" s="3">
        <v>0.94580999999999993</v>
      </c>
      <c r="J46" s="3">
        <v>163.78448604895149</v>
      </c>
      <c r="K46" s="3">
        <v>65.292386962057549</v>
      </c>
      <c r="L46" s="3">
        <v>68.266482002801126</v>
      </c>
      <c r="M46" s="3">
        <v>69.520162254901948</v>
      </c>
      <c r="N46" s="3">
        <v>1.253680252100821</v>
      </c>
      <c r="O46" s="3">
        <v>30.06155086365332</v>
      </c>
      <c r="P46" s="3">
        <v>10.100647001162519</v>
      </c>
      <c r="Q46" s="3">
        <v>3.435970747692735</v>
      </c>
      <c r="R46" s="3">
        <v>10.100647001162519</v>
      </c>
      <c r="S46" s="3">
        <v>1.001899804387774</v>
      </c>
      <c r="T46" s="3">
        <v>5.3154954720872292</v>
      </c>
      <c r="U46" s="3">
        <v>3.435970747692735</v>
      </c>
      <c r="V46" s="3">
        <v>0.94580999999999993</v>
      </c>
      <c r="W46" s="3">
        <v>163.78448604895149</v>
      </c>
    </row>
    <row r="47" spans="1:23" x14ac:dyDescent="0.2">
      <c r="A47" s="2" t="s">
        <v>101</v>
      </c>
      <c r="B47" s="2" t="s">
        <v>102</v>
      </c>
      <c r="C47" s="5">
        <v>22</v>
      </c>
      <c r="D47" s="3">
        <v>40325.014037608598</v>
      </c>
      <c r="E47" s="3">
        <v>10.444444444444439</v>
      </c>
      <c r="F47" s="4">
        <v>432410.77272727271</v>
      </c>
      <c r="G47" s="3">
        <v>1.020929949624197</v>
      </c>
      <c r="H47" s="3">
        <v>5.5534760475158702</v>
      </c>
      <c r="I47" s="3">
        <v>0.5704745</v>
      </c>
      <c r="J47" s="3">
        <v>190.61551996192679</v>
      </c>
      <c r="K47" s="3">
        <v>74.429972071555895</v>
      </c>
      <c r="L47" s="3">
        <v>77.933704668534062</v>
      </c>
      <c r="M47" s="3">
        <v>79.285931792717093</v>
      </c>
      <c r="N47" s="3">
        <v>1.352227124183031</v>
      </c>
      <c r="O47" s="3">
        <v>24.153987604355759</v>
      </c>
      <c r="P47" s="3">
        <v>10.60472725110515</v>
      </c>
      <c r="Q47" s="3">
        <v>3.2250164368346601</v>
      </c>
      <c r="R47" s="3">
        <v>10.60472725110515</v>
      </c>
      <c r="S47" s="3">
        <v>1.020929949624197</v>
      </c>
      <c r="T47" s="3">
        <v>5.5534760475158702</v>
      </c>
      <c r="U47" s="3">
        <v>3.2250164368346601</v>
      </c>
      <c r="V47" s="3">
        <v>0.5704745</v>
      </c>
      <c r="W47" s="3">
        <v>190.61551996192679</v>
      </c>
    </row>
    <row r="48" spans="1:23" x14ac:dyDescent="0.2">
      <c r="A48" s="2" t="s">
        <v>103</v>
      </c>
      <c r="B48" s="2" t="s">
        <v>104</v>
      </c>
      <c r="C48" s="5">
        <v>22</v>
      </c>
      <c r="D48" s="3">
        <v>20686.9738706303</v>
      </c>
      <c r="E48" s="3">
        <v>940.9545454545455</v>
      </c>
      <c r="F48" s="4">
        <v>113962750.4545455</v>
      </c>
      <c r="G48" s="3">
        <v>5.57272755319164E-2</v>
      </c>
      <c r="H48" s="3">
        <v>4.5702100481305798</v>
      </c>
      <c r="I48" s="3">
        <v>0.36753318181818179</v>
      </c>
      <c r="J48" s="3">
        <v>62.136335109630792</v>
      </c>
      <c r="K48" s="3">
        <v>65.716336985496682</v>
      </c>
      <c r="L48" s="3">
        <v>69.499782072829134</v>
      </c>
      <c r="M48" s="3">
        <v>70.798305742296918</v>
      </c>
      <c r="N48" s="3">
        <v>1.298523669467784</v>
      </c>
      <c r="O48" s="3">
        <v>8.2566851159831298</v>
      </c>
      <c r="P48" s="3">
        <v>9.9372594995606214</v>
      </c>
      <c r="Q48" s="3">
        <v>2.2253460057328538</v>
      </c>
      <c r="R48" s="3">
        <v>9.9372594995606214</v>
      </c>
      <c r="S48" s="3">
        <v>5.57272755319164E-2</v>
      </c>
      <c r="T48" s="3">
        <v>4.5702100481305798</v>
      </c>
      <c r="U48" s="3">
        <v>2.2253460057328538</v>
      </c>
      <c r="V48" s="3">
        <v>0.36753318181818179</v>
      </c>
      <c r="W48" s="3">
        <v>62.136335109630792</v>
      </c>
    </row>
    <row r="49" spans="1:23" x14ac:dyDescent="0.2">
      <c r="A49" s="2" t="s">
        <v>105</v>
      </c>
      <c r="B49" s="2" t="s">
        <v>106</v>
      </c>
      <c r="C49" s="5">
        <v>22</v>
      </c>
      <c r="D49" s="3">
        <v>10220.718604550249</v>
      </c>
      <c r="E49" s="3">
        <v>179.22727272727269</v>
      </c>
      <c r="F49" s="4">
        <v>2828598.8636363642</v>
      </c>
      <c r="G49" s="3">
        <v>-0.61532247066497803</v>
      </c>
      <c r="H49" s="3">
        <v>6.5012699898317106</v>
      </c>
      <c r="I49" s="3">
        <v>0.34521210526315788</v>
      </c>
      <c r="J49" s="3">
        <v>109.23319700287431</v>
      </c>
      <c r="K49" s="3">
        <v>73.520244764610396</v>
      </c>
      <c r="L49" s="3">
        <v>79.082358928571409</v>
      </c>
      <c r="M49" s="3">
        <v>78.765586249045086</v>
      </c>
      <c r="N49" s="3">
        <v>-0.31677267952632349</v>
      </c>
      <c r="O49" s="3">
        <v>63.36256265650313</v>
      </c>
      <c r="P49" s="3">
        <v>9.2321721748425887</v>
      </c>
      <c r="Q49" s="3">
        <v>4.1645321388657166</v>
      </c>
      <c r="R49" s="3">
        <v>9.2321721748425887</v>
      </c>
      <c r="S49" s="3">
        <v>-0.61532247066497803</v>
      </c>
      <c r="T49" s="3">
        <v>6.5012699898317106</v>
      </c>
      <c r="U49" s="3">
        <v>4.1645321388657166</v>
      </c>
      <c r="V49" s="3">
        <v>0.34521210526315788</v>
      </c>
      <c r="W49" s="3">
        <v>109.23319700287431</v>
      </c>
    </row>
    <row r="50" spans="1:23" x14ac:dyDescent="0.2">
      <c r="A50" s="2" t="s">
        <v>107</v>
      </c>
      <c r="B50" s="2" t="s">
        <v>108</v>
      </c>
      <c r="C50" s="5">
        <v>22</v>
      </c>
      <c r="D50" s="3">
        <v>10761.183157786551</v>
      </c>
      <c r="E50" s="3">
        <v>110.8235294117647</v>
      </c>
      <c r="F50" s="4">
        <v>2816446.1818181821</v>
      </c>
      <c r="G50" s="3">
        <v>-0.40886206215336213</v>
      </c>
      <c r="H50" s="3">
        <v>4.9617315805875348</v>
      </c>
      <c r="I50" s="3">
        <v>0.20938227272727281</v>
      </c>
      <c r="J50" s="3">
        <v>114.9526174610947</v>
      </c>
      <c r="K50" s="3">
        <v>63.197145597205832</v>
      </c>
      <c r="L50" s="3">
        <v>66.094866734307374</v>
      </c>
      <c r="M50" s="3">
        <v>66.749046867838047</v>
      </c>
      <c r="N50" s="3">
        <v>0.65418013353067295</v>
      </c>
      <c r="O50" s="3">
        <v>39.348711907650078</v>
      </c>
      <c r="P50" s="3">
        <v>9.2837007865728349</v>
      </c>
      <c r="Q50" s="3">
        <v>3.6975594712237592</v>
      </c>
      <c r="R50" s="3">
        <v>9.2837007865728349</v>
      </c>
      <c r="S50" s="3">
        <v>-0.40886206215336213</v>
      </c>
      <c r="T50" s="3">
        <v>4.9617315805875348</v>
      </c>
      <c r="U50" s="3">
        <v>3.6975594712237592</v>
      </c>
      <c r="V50" s="3">
        <v>0.20938227272727281</v>
      </c>
      <c r="W50" s="3">
        <v>114.9526174610947</v>
      </c>
    </row>
    <row r="51" spans="1:23" x14ac:dyDescent="0.2">
      <c r="A51" s="2" t="s">
        <v>109</v>
      </c>
      <c r="B51" s="2" t="s">
        <v>110</v>
      </c>
      <c r="C51" s="5">
        <v>22</v>
      </c>
      <c r="D51" s="3">
        <v>61783.542089434683</v>
      </c>
      <c r="E51" s="3">
        <v>2276.5</v>
      </c>
      <c r="F51" s="4">
        <v>16683490.63636364</v>
      </c>
      <c r="G51" s="3">
        <v>1.831175929024105</v>
      </c>
      <c r="H51" s="3">
        <v>5.1519927111538966</v>
      </c>
      <c r="I51" s="3">
        <v>1.9362559090909091</v>
      </c>
      <c r="J51" s="3">
        <v>138.40125733091759</v>
      </c>
      <c r="K51" s="3">
        <v>77.741634782775165</v>
      </c>
      <c r="L51" s="3">
        <v>79.539145056903905</v>
      </c>
      <c r="M51" s="3">
        <v>79.981429837482779</v>
      </c>
      <c r="N51" s="3">
        <v>0.44228478057887338</v>
      </c>
      <c r="O51" s="3">
        <v>136.45225987888281</v>
      </c>
      <c r="P51" s="3">
        <v>11.031392298746731</v>
      </c>
      <c r="Q51" s="3">
        <v>4.9232766559375927</v>
      </c>
      <c r="R51" s="3">
        <v>11.031392298746731</v>
      </c>
      <c r="S51" s="3">
        <v>1.831175929024105</v>
      </c>
      <c r="T51" s="3">
        <v>5.1519927111538966</v>
      </c>
      <c r="U51" s="3">
        <v>4.9232766559375927</v>
      </c>
      <c r="V51" s="3">
        <v>1.9362559090909091</v>
      </c>
      <c r="W51" s="3">
        <v>138.40125733091759</v>
      </c>
    </row>
    <row r="52" spans="1:23" x14ac:dyDescent="0.2">
      <c r="A52" s="2" t="s">
        <v>111</v>
      </c>
      <c r="B52" s="2" t="s">
        <v>112</v>
      </c>
      <c r="C52" s="5">
        <v>22</v>
      </c>
      <c r="D52" s="3">
        <v>84216.482507878507</v>
      </c>
      <c r="E52" s="3">
        <v>1119.727272727273</v>
      </c>
      <c r="F52" s="4">
        <v>4932507.7272727285</v>
      </c>
      <c r="G52" s="3">
        <v>1.868365077745348</v>
      </c>
      <c r="H52" s="3">
        <v>7.1857913840900771</v>
      </c>
      <c r="I52" s="3">
        <v>1.7478499999999999</v>
      </c>
      <c r="J52" s="3">
        <v>69.812804956858002</v>
      </c>
      <c r="K52" s="3">
        <v>80.887872769201991</v>
      </c>
      <c r="L52" s="3">
        <v>82.33344372686139</v>
      </c>
      <c r="M52" s="3">
        <v>82.720585497998741</v>
      </c>
      <c r="N52" s="3">
        <v>0.38714177113735099</v>
      </c>
      <c r="O52" s="3">
        <v>227.00973513657121</v>
      </c>
      <c r="P52" s="3">
        <v>11.341145935323389</v>
      </c>
      <c r="Q52" s="3">
        <v>5.4293883260103257</v>
      </c>
      <c r="R52" s="3">
        <v>11.341145935323389</v>
      </c>
      <c r="S52" s="3">
        <v>1.868365077745348</v>
      </c>
      <c r="T52" s="3">
        <v>7.1857913840900771</v>
      </c>
      <c r="U52" s="3">
        <v>5.4293883260103257</v>
      </c>
      <c r="V52" s="3">
        <v>1.7478499999999999</v>
      </c>
      <c r="W52" s="3">
        <v>69.812804956858002</v>
      </c>
    </row>
    <row r="53" spans="1:23" x14ac:dyDescent="0.2">
      <c r="A53" s="2" t="s">
        <v>113</v>
      </c>
      <c r="B53" s="2" t="s">
        <v>114</v>
      </c>
      <c r="C53" s="5">
        <v>22</v>
      </c>
      <c r="D53" s="3">
        <v>4385.6497218750756</v>
      </c>
      <c r="E53" s="3">
        <v>161.42857142857139</v>
      </c>
      <c r="F53" s="4">
        <v>198553524.09090909</v>
      </c>
      <c r="G53" s="3">
        <v>-0.64031437748954412</v>
      </c>
      <c r="H53" s="3">
        <v>2.1060338571963069</v>
      </c>
      <c r="I53" s="3">
        <v>0.2480516666666667</v>
      </c>
      <c r="J53" s="3">
        <v>28.281248705020651</v>
      </c>
      <c r="K53" s="3">
        <v>52.856247307290161</v>
      </c>
      <c r="L53" s="3">
        <v>56.488213862281512</v>
      </c>
      <c r="M53" s="3">
        <v>56.966132850646083</v>
      </c>
      <c r="N53" s="3">
        <v>0.47791898836457142</v>
      </c>
      <c r="O53" s="3">
        <v>0.81302294767964034</v>
      </c>
      <c r="P53" s="3">
        <v>8.3860930630150516</v>
      </c>
      <c r="Q53" s="3">
        <v>0.59499558898970994</v>
      </c>
      <c r="R53" s="3">
        <v>8.3860930630150516</v>
      </c>
      <c r="S53" s="3">
        <v>-0.64031437748954412</v>
      </c>
      <c r="T53" s="3">
        <v>2.1060338571963069</v>
      </c>
      <c r="U53" s="3">
        <v>0.59499558898970994</v>
      </c>
      <c r="V53" s="3">
        <v>0.2480516666666667</v>
      </c>
      <c r="W53" s="3">
        <v>28.281248705020651</v>
      </c>
    </row>
    <row r="54" spans="1:23" x14ac:dyDescent="0.2">
      <c r="A54" s="2" t="s">
        <v>115</v>
      </c>
      <c r="B54" s="2" t="s">
        <v>116</v>
      </c>
      <c r="C54" s="5">
        <v>22</v>
      </c>
      <c r="D54" s="3">
        <v>12608.921471412301</v>
      </c>
      <c r="E54" s="3">
        <v>16.93333333333333</v>
      </c>
      <c r="F54" s="4">
        <v>5842774.9090909092</v>
      </c>
      <c r="G54" s="3">
        <v>-0.85850416478656599</v>
      </c>
      <c r="H54" s="3">
        <v>3.325752023861714</v>
      </c>
      <c r="I54" s="3">
        <v>9.2448235294117651E-2</v>
      </c>
      <c r="J54" s="3">
        <v>75.037117534134396</v>
      </c>
      <c r="K54" s="3">
        <v>64.068159244023022</v>
      </c>
      <c r="L54" s="3">
        <v>68.458757379599575</v>
      </c>
      <c r="M54" s="3">
        <v>68.12603140013583</v>
      </c>
      <c r="N54" s="3">
        <v>-0.3327259794637456</v>
      </c>
      <c r="O54" s="3">
        <v>2.898166298856792</v>
      </c>
      <c r="P54" s="3">
        <v>9.4421598956747932</v>
      </c>
      <c r="Q54" s="3">
        <v>1.360506262786118</v>
      </c>
      <c r="R54" s="3">
        <v>9.4421598956747932</v>
      </c>
      <c r="S54" s="3">
        <v>-0.85850416478656599</v>
      </c>
      <c r="T54" s="3">
        <v>3.325752023861714</v>
      </c>
      <c r="U54" s="3">
        <v>1.360506262786118</v>
      </c>
      <c r="V54" s="3">
        <v>9.2448235294117651E-2</v>
      </c>
      <c r="W54" s="3">
        <v>75.037117534134396</v>
      </c>
    </row>
    <row r="55" spans="1:23" x14ac:dyDescent="0.2">
      <c r="A55" s="2" t="s">
        <v>117</v>
      </c>
      <c r="B55" s="2" t="s">
        <v>118</v>
      </c>
      <c r="C55" s="5">
        <v>22</v>
      </c>
      <c r="D55" s="3">
        <v>11898.648947006721</v>
      </c>
      <c r="E55" s="3">
        <v>59.5</v>
      </c>
      <c r="F55" s="4">
        <v>29532743</v>
      </c>
      <c r="G55" s="3">
        <v>-0.37095011203061973</v>
      </c>
      <c r="H55" s="3">
        <v>3.272450468756936</v>
      </c>
      <c r="I55" s="3">
        <v>0.117070625</v>
      </c>
      <c r="J55" s="3">
        <v>47.137413077193457</v>
      </c>
      <c r="K55" s="3">
        <v>66.37827426711732</v>
      </c>
      <c r="L55" s="3">
        <v>72.049185603938554</v>
      </c>
      <c r="M55" s="3">
        <v>72.669447239198718</v>
      </c>
      <c r="N55" s="3">
        <v>0.62026163526016376</v>
      </c>
      <c r="O55" s="3">
        <v>2.0147129577499792</v>
      </c>
      <c r="P55" s="3">
        <v>9.3841801387891817</v>
      </c>
      <c r="Q55" s="3">
        <v>1.1035046209205159</v>
      </c>
      <c r="R55" s="3">
        <v>9.3841801387891817</v>
      </c>
      <c r="S55" s="3">
        <v>-0.37095011203061973</v>
      </c>
      <c r="T55" s="3">
        <v>3.272450468756936</v>
      </c>
      <c r="U55" s="3">
        <v>1.1035046209205159</v>
      </c>
      <c r="V55" s="3">
        <v>0.117070625</v>
      </c>
      <c r="W55" s="3">
        <v>47.137413077193457</v>
      </c>
    </row>
    <row r="56" spans="1:23" x14ac:dyDescent="0.2">
      <c r="A56" s="2" t="s">
        <v>119</v>
      </c>
      <c r="B56" s="2" t="s">
        <v>120</v>
      </c>
      <c r="C56" s="5">
        <v>22</v>
      </c>
      <c r="D56" s="3">
        <v>6694.1392408105194</v>
      </c>
      <c r="E56" s="3">
        <v>267.09090909090912</v>
      </c>
      <c r="F56" s="4">
        <v>97142313.409090906</v>
      </c>
      <c r="G56" s="3">
        <v>3.0397312183465239E-2</v>
      </c>
      <c r="H56" s="3">
        <v>3.0277444151496482</v>
      </c>
      <c r="I56" s="3">
        <v>0.14468333333333341</v>
      </c>
      <c r="J56" s="3">
        <v>70.240357158847686</v>
      </c>
      <c r="K56" s="3">
        <v>61.406132770987178</v>
      </c>
      <c r="L56" s="3">
        <v>66.726128127917832</v>
      </c>
      <c r="M56" s="3">
        <v>68.335205298786192</v>
      </c>
      <c r="N56" s="3">
        <v>1.60907717086836</v>
      </c>
      <c r="O56" s="3">
        <v>2.7494806301978989</v>
      </c>
      <c r="P56" s="3">
        <v>8.8089876823930791</v>
      </c>
      <c r="Q56" s="3">
        <v>1.3216173317766069</v>
      </c>
      <c r="R56" s="3">
        <v>8.8089876823930791</v>
      </c>
      <c r="S56" s="3">
        <v>3.0397312183465239E-2</v>
      </c>
      <c r="T56" s="3">
        <v>3.0277444151496482</v>
      </c>
      <c r="U56" s="3">
        <v>1.3216173317766069</v>
      </c>
      <c r="V56" s="3">
        <v>0.14468333333333341</v>
      </c>
      <c r="W56" s="3">
        <v>70.240357158847686</v>
      </c>
    </row>
    <row r="57" spans="1:23" x14ac:dyDescent="0.2">
      <c r="A57" s="2" t="s">
        <v>121</v>
      </c>
      <c r="B57" s="2" t="s">
        <v>122</v>
      </c>
      <c r="C57" s="5">
        <v>22</v>
      </c>
      <c r="D57" s="3">
        <v>27927.98138462783</v>
      </c>
      <c r="E57" s="3">
        <v>3252</v>
      </c>
      <c r="F57" s="4">
        <v>38019022.545454547</v>
      </c>
      <c r="G57" s="3">
        <v>0.52299489861442916</v>
      </c>
      <c r="H57" s="3">
        <v>4.9531836292960421</v>
      </c>
      <c r="I57" s="3">
        <v>0.83670545454545442</v>
      </c>
      <c r="J57" s="3">
        <v>84.002595592028783</v>
      </c>
      <c r="K57" s="3">
        <v>77.761200376806798</v>
      </c>
      <c r="L57" s="3">
        <v>81.106078088578087</v>
      </c>
      <c r="M57" s="3">
        <v>82.082900944480372</v>
      </c>
      <c r="N57" s="3">
        <v>0.97682285590228446</v>
      </c>
      <c r="O57" s="3">
        <v>85.536128555435482</v>
      </c>
      <c r="P57" s="3">
        <v>10.23738438223595</v>
      </c>
      <c r="Q57" s="3">
        <v>4.4605619978986182</v>
      </c>
      <c r="R57" s="3">
        <v>10.23738438223595</v>
      </c>
      <c r="S57" s="3">
        <v>0.52299489861442916</v>
      </c>
      <c r="T57" s="3">
        <v>4.9531836292960421</v>
      </c>
      <c r="U57" s="3">
        <v>4.4605619978986182</v>
      </c>
      <c r="V57" s="3">
        <v>0.83670545454545442</v>
      </c>
      <c r="W57" s="3">
        <v>84.002595592028783</v>
      </c>
    </row>
    <row r="58" spans="1:23" x14ac:dyDescent="0.2">
      <c r="A58" s="2" t="s">
        <v>123</v>
      </c>
      <c r="B58" s="2" t="s">
        <v>124</v>
      </c>
      <c r="C58" s="5">
        <v>22</v>
      </c>
      <c r="D58" s="3">
        <v>36471.795860000188</v>
      </c>
      <c r="E58" s="3">
        <v>465.13636363636363</v>
      </c>
      <c r="F58" s="4">
        <v>10428482.954545461</v>
      </c>
      <c r="G58" s="3">
        <v>1.0594442798977799</v>
      </c>
      <c r="H58" s="3">
        <v>5.0459537960234151</v>
      </c>
      <c r="I58" s="3">
        <v>1.197905909090909</v>
      </c>
      <c r="J58" s="3">
        <v>73.179347615470519</v>
      </c>
      <c r="K58" s="3">
        <v>76.431313123210714</v>
      </c>
      <c r="L58" s="3">
        <v>80.55832316017316</v>
      </c>
      <c r="M58" s="3">
        <v>80.640692668279442</v>
      </c>
      <c r="N58" s="3">
        <v>8.2369508106282296E-2</v>
      </c>
      <c r="O58" s="3">
        <v>44.602495460149811</v>
      </c>
      <c r="P58" s="3">
        <v>10.504294524707189</v>
      </c>
      <c r="Q58" s="3">
        <v>3.8199624400262668</v>
      </c>
      <c r="R58" s="3">
        <v>10.504294524707189</v>
      </c>
      <c r="S58" s="3">
        <v>1.0594442798977799</v>
      </c>
      <c r="T58" s="3">
        <v>5.0459537960234151</v>
      </c>
      <c r="U58" s="3">
        <v>3.8199624400262668</v>
      </c>
      <c r="V58" s="3">
        <v>1.197905909090909</v>
      </c>
      <c r="W58" s="3">
        <v>73.179347615470519</v>
      </c>
    </row>
    <row r="59" spans="1:23" x14ac:dyDescent="0.2">
      <c r="A59" s="2" t="s">
        <v>125</v>
      </c>
      <c r="B59" s="2" t="s">
        <v>126</v>
      </c>
      <c r="C59" s="5">
        <v>22</v>
      </c>
      <c r="D59" s="3">
        <v>26096.808405960412</v>
      </c>
      <c r="E59" s="3">
        <v>1020.636363636364</v>
      </c>
      <c r="F59" s="4">
        <v>20468996.86363636</v>
      </c>
      <c r="G59" s="3">
        <v>-0.1658899471873328</v>
      </c>
      <c r="H59" s="3">
        <v>3.4053804549303921</v>
      </c>
      <c r="I59" s="3">
        <v>0.44767954545454552</v>
      </c>
      <c r="J59" s="3">
        <v>70.943349047081668</v>
      </c>
      <c r="K59" s="3">
        <v>73.567726821789321</v>
      </c>
      <c r="L59" s="3">
        <v>77.555410224089641</v>
      </c>
      <c r="M59" s="3">
        <v>77.672961531279185</v>
      </c>
      <c r="N59" s="3">
        <v>0.1175513071895438</v>
      </c>
      <c r="O59" s="3">
        <v>49.862549221918528</v>
      </c>
      <c r="P59" s="3">
        <v>10.169568302537041</v>
      </c>
      <c r="Q59" s="3">
        <v>3.9291268810721132</v>
      </c>
      <c r="R59" s="3">
        <v>10.169568302537041</v>
      </c>
      <c r="S59" s="3">
        <v>-0.1658899471873328</v>
      </c>
      <c r="T59" s="3">
        <v>3.4053804549303921</v>
      </c>
      <c r="U59" s="3">
        <v>3.9291268810721132</v>
      </c>
      <c r="V59" s="3">
        <v>0.44767954545454552</v>
      </c>
      <c r="W59" s="3">
        <v>70.943349047081668</v>
      </c>
    </row>
    <row r="60" spans="1:23" x14ac:dyDescent="0.2">
      <c r="A60" s="2" t="s">
        <v>127</v>
      </c>
      <c r="B60" s="2" t="s">
        <v>128</v>
      </c>
      <c r="C60" s="5">
        <v>22</v>
      </c>
      <c r="D60" s="3">
        <v>31806.743252840912</v>
      </c>
      <c r="E60" s="3">
        <v>25425</v>
      </c>
      <c r="F60" s="4">
        <v>144299035.22727269</v>
      </c>
      <c r="G60" s="3">
        <v>-0.38045004755258571</v>
      </c>
      <c r="H60" s="3">
        <v>3.8444882190137681</v>
      </c>
      <c r="I60" s="3">
        <v>1.0965804545454549</v>
      </c>
      <c r="J60" s="3">
        <v>52.239916824622519</v>
      </c>
      <c r="K60" s="3">
        <v>70.879759933204056</v>
      </c>
      <c r="L60" s="3">
        <v>74.343976438267617</v>
      </c>
      <c r="M60" s="3">
        <v>74.125948516842641</v>
      </c>
      <c r="N60" s="3">
        <v>-0.21802792142497651</v>
      </c>
      <c r="O60" s="3">
        <v>176.1966042250755</v>
      </c>
      <c r="P60" s="3">
        <v>10.367433598264549</v>
      </c>
      <c r="Q60" s="3">
        <v>5.1772598744719831</v>
      </c>
      <c r="R60" s="3">
        <v>10.367433598264549</v>
      </c>
      <c r="S60" s="3">
        <v>-0.38045004755258571</v>
      </c>
      <c r="T60" s="3">
        <v>3.8444882190137681</v>
      </c>
      <c r="U60" s="3">
        <v>5.1772598744719831</v>
      </c>
      <c r="V60" s="3">
        <v>1.0965804545454549</v>
      </c>
      <c r="W60" s="3">
        <v>52.239916824622519</v>
      </c>
    </row>
    <row r="61" spans="1:23" x14ac:dyDescent="0.2">
      <c r="A61" s="2" t="s">
        <v>129</v>
      </c>
      <c r="B61" s="2" t="s">
        <v>130</v>
      </c>
      <c r="C61" s="5">
        <v>22</v>
      </c>
      <c r="D61" s="3">
        <v>17262.979012971049</v>
      </c>
      <c r="E61" s="3">
        <v>255</v>
      </c>
      <c r="F61" s="4">
        <v>7237825</v>
      </c>
      <c r="G61" s="3">
        <v>-0.1895490665310284</v>
      </c>
      <c r="H61" s="3">
        <v>3.6930862367153181</v>
      </c>
      <c r="I61" s="3">
        <v>0.69780500000000001</v>
      </c>
      <c r="J61" s="3">
        <v>79.244925730472744</v>
      </c>
      <c r="K61" s="3">
        <v>73.740563909898498</v>
      </c>
      <c r="L61" s="3">
        <v>78.961247767857131</v>
      </c>
      <c r="M61" s="3">
        <v>78.161264463967413</v>
      </c>
      <c r="N61" s="3">
        <v>-0.79998330388971794</v>
      </c>
      <c r="O61" s="3">
        <v>35.231578547422743</v>
      </c>
      <c r="P61" s="3">
        <v>9.756319546092648</v>
      </c>
      <c r="Q61" s="3">
        <v>3.58993107413235</v>
      </c>
      <c r="R61" s="3">
        <v>9.756319546092648</v>
      </c>
      <c r="S61" s="3">
        <v>-0.1895490665310284</v>
      </c>
      <c r="T61" s="3">
        <v>3.6930862367153181</v>
      </c>
      <c r="U61" s="3">
        <v>3.58993107413235</v>
      </c>
      <c r="V61" s="3">
        <v>0.69780500000000001</v>
      </c>
      <c r="W61" s="3">
        <v>79.244925730472744</v>
      </c>
    </row>
    <row r="62" spans="1:23" x14ac:dyDescent="0.2">
      <c r="A62" s="2" t="s">
        <v>131</v>
      </c>
      <c r="B62" s="2" t="s">
        <v>132</v>
      </c>
      <c r="C62" s="5">
        <v>22</v>
      </c>
      <c r="D62" s="3">
        <v>96162.724140167455</v>
      </c>
      <c r="E62" s="3">
        <v>1073.909090909091</v>
      </c>
      <c r="F62" s="4">
        <v>4971996.9545454541</v>
      </c>
      <c r="G62" s="3">
        <v>2.1897716465450472</v>
      </c>
      <c r="H62" s="3">
        <v>3.0962200845919559</v>
      </c>
      <c r="I62" s="3">
        <v>2.05527619047619</v>
      </c>
      <c r="J62" s="3">
        <v>362.93419573189789</v>
      </c>
      <c r="K62" s="3">
        <v>67.496133502885996</v>
      </c>
      <c r="L62" s="3">
        <v>68.802425317460333</v>
      </c>
      <c r="M62" s="3">
        <v>71.543615668767529</v>
      </c>
      <c r="N62" s="3">
        <v>2.7411903513071958</v>
      </c>
      <c r="O62" s="3">
        <v>215.99150215233169</v>
      </c>
      <c r="P62" s="3">
        <v>11.47379707861244</v>
      </c>
      <c r="Q62" s="3">
        <v>5.3798581921853303</v>
      </c>
      <c r="R62" s="3">
        <v>11.47379707861244</v>
      </c>
      <c r="S62" s="3">
        <v>2.1897716465450472</v>
      </c>
      <c r="T62" s="3">
        <v>3.0962200845919559</v>
      </c>
      <c r="U62" s="3">
        <v>5.3798581921853303</v>
      </c>
      <c r="V62" s="3">
        <v>2.05527619047619</v>
      </c>
      <c r="W62" s="3">
        <v>362.93419573189789</v>
      </c>
    </row>
    <row r="63" spans="1:23" x14ac:dyDescent="0.2">
      <c r="A63" s="2" t="s">
        <v>133</v>
      </c>
      <c r="B63" s="2" t="s">
        <v>134</v>
      </c>
      <c r="C63" s="5">
        <v>22</v>
      </c>
      <c r="D63" s="3">
        <v>29035.527204053709</v>
      </c>
      <c r="E63" s="3">
        <v>205.59090909090909</v>
      </c>
      <c r="F63" s="4">
        <v>5404842.3181818184</v>
      </c>
      <c r="G63" s="3">
        <v>0.71358459904080351</v>
      </c>
      <c r="H63" s="3">
        <v>4.0471090836958448</v>
      </c>
      <c r="I63" s="3">
        <v>0.69498409090909086</v>
      </c>
      <c r="J63" s="3">
        <v>160.3117887022488</v>
      </c>
      <c r="K63" s="3">
        <v>78.226170242912076</v>
      </c>
      <c r="L63" s="3">
        <v>80.839402238906914</v>
      </c>
      <c r="M63" s="3">
        <v>80.774353010143471</v>
      </c>
      <c r="N63" s="3">
        <v>-6.5049228763442102E-2</v>
      </c>
      <c r="O63" s="3">
        <v>38.038280672741173</v>
      </c>
      <c r="P63" s="3">
        <v>10.276275435177171</v>
      </c>
      <c r="Q63" s="3">
        <v>3.6645427204301471</v>
      </c>
      <c r="R63" s="3">
        <v>10.276275435177171</v>
      </c>
      <c r="S63" s="3">
        <v>0.71358459904080351</v>
      </c>
      <c r="T63" s="3">
        <v>4.0471090836958448</v>
      </c>
      <c r="U63" s="3">
        <v>3.6645427204301471</v>
      </c>
      <c r="V63" s="3">
        <v>0.69498409090909086</v>
      </c>
      <c r="W63" s="3">
        <v>160.3117887022488</v>
      </c>
    </row>
    <row r="64" spans="1:23" x14ac:dyDescent="0.2">
      <c r="A64" s="2" t="s">
        <v>135</v>
      </c>
      <c r="B64" s="2" t="s">
        <v>136</v>
      </c>
      <c r="C64" s="5">
        <v>22</v>
      </c>
      <c r="D64" s="3">
        <v>37994.955675584359</v>
      </c>
      <c r="E64" s="3">
        <v>321.13333333333333</v>
      </c>
      <c r="F64" s="4">
        <v>2041043.863636364</v>
      </c>
      <c r="G64" s="3">
        <v>0.99006783962249723</v>
      </c>
      <c r="H64" s="3">
        <v>5.3886890411376953</v>
      </c>
      <c r="I64" s="3">
        <v>1.8630868181818181</v>
      </c>
      <c r="J64" s="3">
        <v>134.56054586428749</v>
      </c>
      <c r="K64" s="3">
        <v>78.295925694106842</v>
      </c>
      <c r="L64" s="3">
        <v>80.29760544520839</v>
      </c>
      <c r="M64" s="3">
        <v>81.205378471691688</v>
      </c>
      <c r="N64" s="3">
        <v>0.90777302648329794</v>
      </c>
      <c r="O64" s="3">
        <v>157.33779124236739</v>
      </c>
      <c r="P64" s="3">
        <v>10.54520868451772</v>
      </c>
      <c r="Q64" s="3">
        <v>5.0647306701851331</v>
      </c>
      <c r="R64" s="3">
        <v>10.54520868451772</v>
      </c>
      <c r="S64" s="3">
        <v>0.99006783962249723</v>
      </c>
      <c r="T64" s="3">
        <v>5.3886890411376953</v>
      </c>
      <c r="U64" s="3">
        <v>5.0647306701851331</v>
      </c>
      <c r="V64" s="3">
        <v>1.8630868181818181</v>
      </c>
      <c r="W64" s="3">
        <v>134.56054586428749</v>
      </c>
    </row>
    <row r="65" spans="1:23" x14ac:dyDescent="0.2">
      <c r="A65" s="2" t="s">
        <v>137</v>
      </c>
      <c r="B65" s="2" t="s">
        <v>138</v>
      </c>
      <c r="C65" s="5">
        <v>22</v>
      </c>
      <c r="D65" s="3">
        <v>13591.200344935711</v>
      </c>
      <c r="E65" s="3">
        <v>845.63636363636363</v>
      </c>
      <c r="F65" s="4">
        <v>53380785.636363633</v>
      </c>
      <c r="G65" s="3">
        <v>0.27376333659603502</v>
      </c>
      <c r="H65" s="3">
        <v>5.1445345445112736</v>
      </c>
      <c r="I65" s="3">
        <v>0.70505550000000006</v>
      </c>
      <c r="J65" s="3">
        <v>53.388143794541413</v>
      </c>
      <c r="K65" s="3">
        <v>59.179360636155288</v>
      </c>
      <c r="L65" s="3">
        <v>63.849057189542478</v>
      </c>
      <c r="M65" s="3">
        <v>64.114309451659452</v>
      </c>
      <c r="N65" s="3">
        <v>0.26525226211697372</v>
      </c>
      <c r="O65" s="3">
        <v>15.841587072115059</v>
      </c>
      <c r="P65" s="3">
        <v>9.5171778288470463</v>
      </c>
      <c r="Q65" s="3">
        <v>2.8238512485608309</v>
      </c>
      <c r="R65" s="3">
        <v>9.5171778288470463</v>
      </c>
      <c r="S65" s="3">
        <v>0.27376333659603502</v>
      </c>
      <c r="T65" s="3">
        <v>5.1445345445112736</v>
      </c>
      <c r="U65" s="3">
        <v>2.8238512485608309</v>
      </c>
      <c r="V65" s="3">
        <v>0.70505550000000006</v>
      </c>
      <c r="W65" s="3">
        <v>53.388143794541413</v>
      </c>
    </row>
    <row r="66" spans="1:23" x14ac:dyDescent="0.2">
      <c r="A66" s="2" t="s">
        <v>139</v>
      </c>
      <c r="B66" s="2" t="s">
        <v>140</v>
      </c>
      <c r="C66" s="5">
        <v>22</v>
      </c>
      <c r="D66" s="3">
        <v>43132.418395681038</v>
      </c>
      <c r="E66" s="3">
        <v>2719.772727272727</v>
      </c>
      <c r="F66" s="4">
        <v>45221214.227272727</v>
      </c>
      <c r="G66" s="3">
        <v>1.1457473011243919</v>
      </c>
      <c r="H66" s="3">
        <v>4.3624804670160469</v>
      </c>
      <c r="I66" s="3">
        <v>1.201964090909091</v>
      </c>
      <c r="J66" s="3">
        <v>59.151800295610037</v>
      </c>
      <c r="K66" s="3">
        <v>77.393002599138839</v>
      </c>
      <c r="L66" s="3">
        <v>80.72812724089637</v>
      </c>
      <c r="M66" s="3">
        <v>81.03786423266277</v>
      </c>
      <c r="N66" s="3">
        <v>0.30973699176639968</v>
      </c>
      <c r="O66" s="3">
        <v>60.143735053280437</v>
      </c>
      <c r="P66" s="3">
        <v>10.6720301603092</v>
      </c>
      <c r="Q66" s="3">
        <v>4.1132274047714477</v>
      </c>
      <c r="R66" s="3">
        <v>10.6720301603092</v>
      </c>
      <c r="S66" s="3">
        <v>1.1457473011243919</v>
      </c>
      <c r="T66" s="3">
        <v>4.3624804670160469</v>
      </c>
      <c r="U66" s="3">
        <v>4.1132274047714477</v>
      </c>
      <c r="V66" s="3">
        <v>1.201964090909091</v>
      </c>
      <c r="W66" s="3">
        <v>59.151800295610037</v>
      </c>
    </row>
    <row r="67" spans="1:23" x14ac:dyDescent="0.2">
      <c r="A67" s="2" t="s">
        <v>141</v>
      </c>
      <c r="B67" s="2" t="s">
        <v>142</v>
      </c>
      <c r="C67" s="5">
        <v>22</v>
      </c>
      <c r="D67" s="3">
        <v>56151.408000123811</v>
      </c>
      <c r="E67" s="3">
        <v>2435.090909090909</v>
      </c>
      <c r="F67" s="4">
        <v>9503074.2272727266</v>
      </c>
      <c r="G67" s="3">
        <v>1.8367953641074051</v>
      </c>
      <c r="H67" s="3">
        <v>7.0675063783472236</v>
      </c>
      <c r="I67" s="3">
        <v>3.3562625000000001</v>
      </c>
      <c r="J67" s="3">
        <v>84.758413343275734</v>
      </c>
      <c r="K67" s="3">
        <v>85.203854344823327</v>
      </c>
      <c r="L67" s="3">
        <v>85.553876578813359</v>
      </c>
      <c r="M67" s="3">
        <v>85.74132986588576</v>
      </c>
      <c r="N67" s="3">
        <v>0.18745328707240111</v>
      </c>
      <c r="O67" s="3">
        <v>256.24243806309318</v>
      </c>
      <c r="P67" s="3">
        <v>10.935807035544521</v>
      </c>
      <c r="Q67" s="3">
        <v>5.5500189789977288</v>
      </c>
      <c r="R67" s="3">
        <v>10.935807035544521</v>
      </c>
      <c r="S67" s="3">
        <v>1.8367953641074051</v>
      </c>
      <c r="T67" s="3">
        <v>7.0675063783472236</v>
      </c>
      <c r="U67" s="3">
        <v>5.5500189789977288</v>
      </c>
      <c r="V67" s="3">
        <v>3.3562625000000001</v>
      </c>
      <c r="W67" s="3">
        <v>84.758413343275734</v>
      </c>
    </row>
    <row r="68" spans="1:23" x14ac:dyDescent="0.2">
      <c r="A68" s="2" t="s">
        <v>143</v>
      </c>
      <c r="B68" s="2" t="s">
        <v>144</v>
      </c>
      <c r="C68" s="5">
        <v>22</v>
      </c>
      <c r="D68" s="3">
        <v>73922.254270839316</v>
      </c>
      <c r="E68" s="3">
        <v>1590.863636363636</v>
      </c>
      <c r="F68" s="4">
        <v>7901964.2727272715</v>
      </c>
      <c r="G68" s="3">
        <v>1.9573758954093581</v>
      </c>
      <c r="H68" s="3">
        <v>4.9639045541936708</v>
      </c>
      <c r="I68" s="3">
        <v>2.8822649999999999</v>
      </c>
      <c r="J68" s="3">
        <v>114.1213756264936</v>
      </c>
      <c r="K68" s="3">
        <v>78.178930714511182</v>
      </c>
      <c r="L68" s="3">
        <v>79.638514018620285</v>
      </c>
      <c r="M68" s="3">
        <v>79.155207456187625</v>
      </c>
      <c r="N68" s="3">
        <v>-0.48330656243265929</v>
      </c>
      <c r="O68" s="3">
        <v>201.32508594784721</v>
      </c>
      <c r="P68" s="3">
        <v>11.21076920193876</v>
      </c>
      <c r="Q68" s="3">
        <v>5.3098757401825996</v>
      </c>
      <c r="R68" s="3">
        <v>11.21076920193876</v>
      </c>
      <c r="S68" s="3">
        <v>1.9573758954093581</v>
      </c>
      <c r="T68" s="3">
        <v>4.9639045541936708</v>
      </c>
      <c r="U68" s="3">
        <v>5.3098757401825996</v>
      </c>
      <c r="V68" s="3">
        <v>2.8822649999999999</v>
      </c>
      <c r="W68" s="3">
        <v>114.1213756264936</v>
      </c>
    </row>
    <row r="69" spans="1:23" x14ac:dyDescent="0.2">
      <c r="A69" s="2" t="s">
        <v>145</v>
      </c>
      <c r="B69" s="2" t="s">
        <v>146</v>
      </c>
      <c r="C69" s="5">
        <v>22</v>
      </c>
      <c r="D69" s="3">
        <v>2580.3756685005392</v>
      </c>
      <c r="E69" s="3">
        <v>24.07692307692308</v>
      </c>
      <c r="F69" s="4">
        <v>7907296.3181818184</v>
      </c>
      <c r="G69" s="3">
        <v>-1.030516996270135</v>
      </c>
      <c r="H69" s="3">
        <v>4.0926939864351146</v>
      </c>
      <c r="I69" s="3">
        <v>9.3934000000000004E-2</v>
      </c>
      <c r="J69" s="3">
        <v>95.570641444260048</v>
      </c>
      <c r="K69" s="3">
        <v>64.555797451073232</v>
      </c>
      <c r="L69" s="3">
        <v>67.881436433531761</v>
      </c>
      <c r="M69" s="3">
        <v>68.269929993209402</v>
      </c>
      <c r="N69" s="3">
        <v>0.38849355967764149</v>
      </c>
      <c r="O69" s="3">
        <v>3.0448995596081652</v>
      </c>
      <c r="P69" s="3">
        <v>7.8556902752618001</v>
      </c>
      <c r="Q69" s="3">
        <v>1.3974567194501679</v>
      </c>
      <c r="R69" s="3">
        <v>7.8556902752618001</v>
      </c>
      <c r="S69" s="3">
        <v>-1.030516996270135</v>
      </c>
      <c r="T69" s="3">
        <v>4.0926939864351146</v>
      </c>
      <c r="U69" s="3">
        <v>1.3974567194501679</v>
      </c>
      <c r="V69" s="3">
        <v>9.3934000000000004E-2</v>
      </c>
      <c r="W69" s="3">
        <v>95.570641444260048</v>
      </c>
    </row>
    <row r="70" spans="1:23" x14ac:dyDescent="0.2">
      <c r="A70" s="2" t="s">
        <v>147</v>
      </c>
      <c r="B70" s="2" t="s">
        <v>148</v>
      </c>
      <c r="C70" s="5">
        <v>22</v>
      </c>
      <c r="D70" s="3">
        <v>16759.019905187859</v>
      </c>
      <c r="E70" s="3">
        <v>930.81818181818187</v>
      </c>
      <c r="F70" s="4">
        <v>68299374.545454547</v>
      </c>
      <c r="G70" s="3">
        <v>0.22884126468783331</v>
      </c>
      <c r="H70" s="3">
        <v>3.8636953190042012</v>
      </c>
      <c r="I70" s="3">
        <v>0.53868150000000004</v>
      </c>
      <c r="J70" s="3">
        <v>124.637311393665</v>
      </c>
      <c r="K70" s="3">
        <v>70.469826709320103</v>
      </c>
      <c r="L70" s="3">
        <v>74.485278151260516</v>
      </c>
      <c r="M70" s="3">
        <v>75.34208613445378</v>
      </c>
      <c r="N70" s="3">
        <v>0.85680798319326357</v>
      </c>
      <c r="O70" s="3">
        <v>13.62850228150632</v>
      </c>
      <c r="P70" s="3">
        <v>9.7266918941154081</v>
      </c>
      <c r="Q70" s="3">
        <v>2.6829718366887678</v>
      </c>
      <c r="R70" s="3">
        <v>9.7266918941154081</v>
      </c>
      <c r="S70" s="3">
        <v>0.22884126468783331</v>
      </c>
      <c r="T70" s="3">
        <v>3.8636953190042012</v>
      </c>
      <c r="U70" s="3">
        <v>2.6829718366887678</v>
      </c>
      <c r="V70" s="3">
        <v>0.53868150000000004</v>
      </c>
      <c r="W70" s="3">
        <v>124.637311393665</v>
      </c>
    </row>
    <row r="71" spans="1:23" x14ac:dyDescent="0.2">
      <c r="A71" s="2" t="s">
        <v>149</v>
      </c>
      <c r="B71" s="2" t="s">
        <v>150</v>
      </c>
      <c r="C71" s="5">
        <v>22</v>
      </c>
      <c r="D71" s="3">
        <v>11683.173504020009</v>
      </c>
      <c r="E71" s="3">
        <v>105.5789473684211</v>
      </c>
      <c r="F71" s="4">
        <v>10881947.40909091</v>
      </c>
      <c r="G71" s="3">
        <v>0.1514598823352051</v>
      </c>
      <c r="H71" s="3">
        <v>6.3837115274876979</v>
      </c>
      <c r="I71" s="3">
        <v>0.66032222222222225</v>
      </c>
      <c r="J71" s="3">
        <v>94.256956404201205</v>
      </c>
      <c r="K71" s="3">
        <v>68.812370051064505</v>
      </c>
      <c r="L71" s="3">
        <v>72.550836038961052</v>
      </c>
      <c r="M71" s="3">
        <v>72.000996451914105</v>
      </c>
      <c r="N71" s="3">
        <v>-0.54983958704694658</v>
      </c>
      <c r="O71" s="3">
        <v>9.7022107715958246</v>
      </c>
      <c r="P71" s="3">
        <v>9.3659049235886425</v>
      </c>
      <c r="Q71" s="3">
        <v>2.3704503342939272</v>
      </c>
      <c r="R71" s="3">
        <v>9.3659049235886425</v>
      </c>
      <c r="S71" s="3">
        <v>0.1514598823352051</v>
      </c>
      <c r="T71" s="3">
        <v>6.3837115274876979</v>
      </c>
      <c r="U71" s="3">
        <v>2.3704503342939272</v>
      </c>
      <c r="V71" s="3">
        <v>0.66032222222222225</v>
      </c>
      <c r="W71" s="3">
        <v>94.256956404201205</v>
      </c>
    </row>
    <row r="72" spans="1:23" x14ac:dyDescent="0.2">
      <c r="A72" s="2" t="s">
        <v>151</v>
      </c>
      <c r="B72" s="2" t="s">
        <v>152</v>
      </c>
      <c r="C72" s="5">
        <v>22</v>
      </c>
      <c r="D72" s="3">
        <v>16022.76482599432</v>
      </c>
      <c r="E72" s="3">
        <v>2842.181818181818</v>
      </c>
      <c r="F72" s="4">
        <v>46639147.409090906</v>
      </c>
      <c r="G72" s="3">
        <v>-0.61572415913854328</v>
      </c>
      <c r="H72" s="3">
        <v>5.5700560145650124</v>
      </c>
      <c r="I72" s="3">
        <v>0.73732090909090919</v>
      </c>
      <c r="J72" s="3">
        <v>97.478679691864954</v>
      </c>
      <c r="K72" s="3">
        <v>71.653130063828215</v>
      </c>
      <c r="L72" s="3">
        <v>74.616302624458868</v>
      </c>
      <c r="M72" s="3">
        <v>75.744366609371014</v>
      </c>
      <c r="N72" s="3">
        <v>1.1280639849121461</v>
      </c>
      <c r="O72" s="3">
        <v>60.939832224030319</v>
      </c>
      <c r="P72" s="3">
        <v>9.6817657916233983</v>
      </c>
      <c r="Q72" s="3">
        <v>4.1261634658560524</v>
      </c>
      <c r="R72" s="3">
        <v>9.6817657916233983</v>
      </c>
      <c r="S72" s="3">
        <v>-0.61572415913854328</v>
      </c>
      <c r="T72" s="3">
        <v>5.5700560145650124</v>
      </c>
      <c r="U72" s="3">
        <v>4.1261634658560524</v>
      </c>
      <c r="V72" s="3">
        <v>0.73732090909090919</v>
      </c>
      <c r="W72" s="3">
        <v>97.478679691864954</v>
      </c>
    </row>
    <row r="73" spans="1:23" x14ac:dyDescent="0.2">
      <c r="A73" s="2" t="s">
        <v>153</v>
      </c>
      <c r="B73" s="2" t="s">
        <v>154</v>
      </c>
      <c r="C73" s="5">
        <v>22</v>
      </c>
      <c r="D73" s="3">
        <v>48017.693067762637</v>
      </c>
      <c r="E73" s="3">
        <v>16173.81818181818</v>
      </c>
      <c r="F73" s="4">
        <v>62976185.31818182</v>
      </c>
      <c r="G73" s="3">
        <v>1.5913457813717069</v>
      </c>
      <c r="H73" s="3">
        <v>5.129261402856736</v>
      </c>
      <c r="I73" s="3">
        <v>1.9473722727272731</v>
      </c>
      <c r="J73" s="3">
        <v>57.377481198298909</v>
      </c>
      <c r="K73" s="3">
        <v>79.023619057747069</v>
      </c>
      <c r="L73" s="3">
        <v>81.770087564722871</v>
      </c>
      <c r="M73" s="3">
        <v>81.854334551396335</v>
      </c>
      <c r="N73" s="3">
        <v>8.4246986673463198E-2</v>
      </c>
      <c r="O73" s="3">
        <v>256.82435511298968</v>
      </c>
      <c r="P73" s="3">
        <v>10.77932482755007</v>
      </c>
      <c r="Q73" s="3">
        <v>5.5522785589403592</v>
      </c>
      <c r="R73" s="3">
        <v>10.77932482755007</v>
      </c>
      <c r="S73" s="3">
        <v>1.5913457813717069</v>
      </c>
      <c r="T73" s="3">
        <v>5.129261402856736</v>
      </c>
      <c r="U73" s="3">
        <v>5.5522785589403592</v>
      </c>
      <c r="V73" s="3">
        <v>1.9473722727272731</v>
      </c>
      <c r="W73" s="3">
        <v>57.377481198298909</v>
      </c>
    </row>
    <row r="74" spans="1:23" x14ac:dyDescent="0.2">
      <c r="A74" s="2" t="s">
        <v>155</v>
      </c>
      <c r="B74" s="2" t="s">
        <v>156</v>
      </c>
      <c r="C74" s="5">
        <v>22</v>
      </c>
      <c r="D74" s="3">
        <v>61744.758568483863</v>
      </c>
      <c r="E74" s="3">
        <v>242889.45454545459</v>
      </c>
      <c r="F74" s="4">
        <v>309564272.09090912</v>
      </c>
      <c r="G74" s="3">
        <v>1.524207943961734</v>
      </c>
      <c r="H74" s="3">
        <v>5.0678671428135473</v>
      </c>
      <c r="I74" s="3">
        <v>2.7777013636363641</v>
      </c>
      <c r="J74" s="3">
        <v>26.69370718699173</v>
      </c>
      <c r="K74" s="3">
        <v>73.151430352290319</v>
      </c>
      <c r="L74" s="3">
        <v>75.177822954006785</v>
      </c>
      <c r="M74" s="3">
        <v>75.191668542242056</v>
      </c>
      <c r="N74" s="3">
        <v>1.384558823527016E-2</v>
      </c>
      <c r="O74" s="3">
        <v>784.61720696930342</v>
      </c>
      <c r="P74" s="3">
        <v>11.03076436940554</v>
      </c>
      <c r="Q74" s="3">
        <v>6.6664696597653892</v>
      </c>
      <c r="R74" s="3">
        <v>11.03076436940554</v>
      </c>
      <c r="S74" s="3">
        <v>1.524207943961734</v>
      </c>
      <c r="T74" s="3">
        <v>5.0678671428135473</v>
      </c>
      <c r="U74" s="3">
        <v>6.6664696597653892</v>
      </c>
      <c r="V74" s="3">
        <v>2.7777013636363641</v>
      </c>
      <c r="W74" s="3">
        <v>26.69370718699173</v>
      </c>
    </row>
    <row r="75" spans="1:23" x14ac:dyDescent="0.2">
      <c r="A75" s="2" t="s">
        <v>157</v>
      </c>
      <c r="B75" s="2" t="s">
        <v>158</v>
      </c>
      <c r="C75" s="5">
        <v>22</v>
      </c>
      <c r="D75" s="3">
        <v>24186.388975292812</v>
      </c>
      <c r="E75" s="3">
        <v>32</v>
      </c>
      <c r="F75" s="4">
        <v>3330544.2727272729</v>
      </c>
      <c r="G75" s="3">
        <v>0.51575448541414182</v>
      </c>
      <c r="H75" s="3">
        <v>3.6476663409570529</v>
      </c>
      <c r="I75" s="3">
        <v>0.39854263157894743</v>
      </c>
      <c r="J75" s="3">
        <v>51.251045316714688</v>
      </c>
      <c r="K75" s="3">
        <v>73.02071866150041</v>
      </c>
      <c r="L75" s="3">
        <v>77.02047282064342</v>
      </c>
      <c r="M75" s="3">
        <v>77.400804959256419</v>
      </c>
      <c r="N75" s="3">
        <v>0.38033213861299942</v>
      </c>
      <c r="O75" s="3">
        <v>9.6080392211079229</v>
      </c>
      <c r="P75" s="3">
        <v>10.093545314879121</v>
      </c>
      <c r="Q75" s="3">
        <v>2.3616121307507671</v>
      </c>
      <c r="R75" s="3">
        <v>10.093545314879121</v>
      </c>
      <c r="S75" s="3">
        <v>0.51575448541414182</v>
      </c>
      <c r="T75" s="3">
        <v>3.6476663409570529</v>
      </c>
      <c r="U75" s="3">
        <v>2.3616121307507671</v>
      </c>
      <c r="V75" s="3">
        <v>0.39854263157894743</v>
      </c>
      <c r="W75" s="3">
        <v>51.251045316714688</v>
      </c>
    </row>
    <row r="76" spans="1:23" x14ac:dyDescent="0.2">
      <c r="A76" s="2" t="s">
        <v>159</v>
      </c>
      <c r="B76" s="2" t="s">
        <v>160</v>
      </c>
      <c r="C76" s="5">
        <v>22</v>
      </c>
      <c r="D76" s="3">
        <v>6036.6482036439093</v>
      </c>
      <c r="E76" s="3">
        <v>411.45454545454538</v>
      </c>
      <c r="F76" s="4">
        <v>28910139.5</v>
      </c>
      <c r="G76" s="3">
        <v>-0.84689360431262528</v>
      </c>
      <c r="H76" s="3">
        <v>5.1689155229066408</v>
      </c>
      <c r="I76" s="3">
        <v>0.19876727272727271</v>
      </c>
      <c r="J76" s="3">
        <v>56.076808658227733</v>
      </c>
      <c r="K76" s="3">
        <v>65.213563939619405</v>
      </c>
      <c r="L76" s="3">
        <v>71.997580481150791</v>
      </c>
      <c r="M76" s="3">
        <v>73.079578615991863</v>
      </c>
      <c r="N76" s="3">
        <v>1.0819981348410721</v>
      </c>
      <c r="O76" s="3">
        <v>14.23218817240731</v>
      </c>
      <c r="P76" s="3">
        <v>8.7056042037249224</v>
      </c>
      <c r="Q76" s="3">
        <v>2.723410831728434</v>
      </c>
      <c r="R76" s="3">
        <v>8.7056042037249224</v>
      </c>
      <c r="S76" s="3">
        <v>-0.84689360431262528</v>
      </c>
      <c r="T76" s="3">
        <v>5.1689155229066408</v>
      </c>
      <c r="U76" s="3">
        <v>2.723410831728434</v>
      </c>
      <c r="V76" s="3">
        <v>0.19876727272727271</v>
      </c>
      <c r="W76" s="3">
        <v>56.076808658227733</v>
      </c>
    </row>
    <row r="77" spans="1:23" x14ac:dyDescent="0.2">
      <c r="A77" s="2" t="s">
        <v>161</v>
      </c>
      <c r="B77" s="2" t="s">
        <v>162</v>
      </c>
      <c r="C77" s="5">
        <v>22</v>
      </c>
      <c r="D77" s="3">
        <v>3080.50024156171</v>
      </c>
      <c r="E77" s="3">
        <v>9.9047619047619051</v>
      </c>
      <c r="F77" s="4">
        <v>14397922.77272727</v>
      </c>
      <c r="G77" s="3">
        <v>-0.77786746763047721</v>
      </c>
      <c r="H77" s="3">
        <v>3.2931811495554371</v>
      </c>
      <c r="I77" s="3">
        <v>6.7851999999999996E-2</v>
      </c>
      <c r="J77" s="3">
        <v>69.492501974234528</v>
      </c>
      <c r="K77" s="3">
        <v>49.528428390233508</v>
      </c>
      <c r="L77" s="3">
        <v>53.59543839060246</v>
      </c>
      <c r="M77" s="3">
        <v>54.772347647483222</v>
      </c>
      <c r="N77" s="3">
        <v>1.176909256880762</v>
      </c>
      <c r="O77" s="3">
        <v>0.6879299230249819</v>
      </c>
      <c r="P77" s="3">
        <v>8.032847278871019</v>
      </c>
      <c r="Q77" s="3">
        <v>0.5235028805163755</v>
      </c>
      <c r="R77" s="3">
        <v>8.032847278871019</v>
      </c>
      <c r="S77" s="3">
        <v>-0.77786746763047721</v>
      </c>
      <c r="T77" s="3">
        <v>3.2931811495554371</v>
      </c>
      <c r="U77" s="3">
        <v>0.5235028805163755</v>
      </c>
      <c r="V77" s="3">
        <v>6.7851999999999996E-2</v>
      </c>
      <c r="W77" s="3">
        <v>69.492501974234528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L77"/>
  <sheetViews>
    <sheetView zoomScale="75" workbookViewId="0">
      <pane ySplit="1" topLeftCell="A2" activePane="bottomLeft" state="frozen"/>
      <selection pane="bottomLeft" activeCell="D2" sqref="D2"/>
    </sheetView>
  </sheetViews>
  <sheetFormatPr baseColWidth="10" defaultColWidth="8.83203125" defaultRowHeight="15" x14ac:dyDescent="0.2"/>
  <cols>
    <col min="1" max="1" width="22" customWidth="1"/>
    <col min="2" max="2" width="12" customWidth="1"/>
    <col min="3" max="3" width="20" customWidth="1"/>
    <col min="4" max="5" width="19" customWidth="1"/>
    <col min="6" max="6" width="18" customWidth="1"/>
    <col min="7" max="7" width="25" customWidth="1"/>
    <col min="8" max="8" width="28" customWidth="1"/>
    <col min="9" max="10" width="33" customWidth="1"/>
    <col min="11" max="11" width="20" customWidth="1"/>
    <col min="12" max="12" width="24" customWidth="1"/>
  </cols>
  <sheetData>
    <row r="1" spans="1:12" ht="30" customHeight="1" x14ac:dyDescent="0.2">
      <c r="A1" s="1" t="s">
        <v>0</v>
      </c>
      <c r="B1" s="1" t="s">
        <v>1</v>
      </c>
      <c r="C1" s="1" t="s">
        <v>10</v>
      </c>
      <c r="D1" s="1" t="s">
        <v>164</v>
      </c>
      <c r="E1" s="1" t="s">
        <v>165</v>
      </c>
      <c r="F1" s="1" t="s">
        <v>166</v>
      </c>
      <c r="G1" s="1" t="s">
        <v>184</v>
      </c>
      <c r="H1" s="1" t="s">
        <v>185</v>
      </c>
      <c r="I1" s="1" t="s">
        <v>186</v>
      </c>
      <c r="J1" s="1" t="s">
        <v>187</v>
      </c>
      <c r="K1" s="1" t="s">
        <v>188</v>
      </c>
      <c r="L1" s="1" t="s">
        <v>189</v>
      </c>
    </row>
    <row r="2" spans="1:12" x14ac:dyDescent="0.2">
      <c r="A2" s="2" t="s">
        <v>11</v>
      </c>
      <c r="B2" s="2" t="s">
        <v>12</v>
      </c>
      <c r="C2" s="3">
        <v>71.286360007350041</v>
      </c>
      <c r="D2" s="3">
        <v>74.298191176470596</v>
      </c>
      <c r="E2" s="3">
        <v>74.836351381461682</v>
      </c>
      <c r="F2" s="3">
        <v>0.53816020499108674</v>
      </c>
      <c r="G2" s="3">
        <v>0.16956149923549901</v>
      </c>
      <c r="H2" s="3">
        <v>-0.59729523737330592</v>
      </c>
      <c r="I2" s="3">
        <v>0.19848777160394651</v>
      </c>
      <c r="J2" s="3">
        <v>-0.45423348743065978</v>
      </c>
      <c r="K2" s="3">
        <v>-0.59636584558802419</v>
      </c>
      <c r="L2" s="3">
        <v>-1.029731548641373</v>
      </c>
    </row>
    <row r="3" spans="1:12" x14ac:dyDescent="0.2">
      <c r="A3" s="2" t="s">
        <v>13</v>
      </c>
      <c r="B3" s="2" t="s">
        <v>14</v>
      </c>
      <c r="C3" s="3">
        <v>70.749834053706707</v>
      </c>
      <c r="D3" s="3">
        <v>73.909823511904762</v>
      </c>
      <c r="E3" s="3">
        <v>74.253555833545548</v>
      </c>
      <c r="F3" s="3">
        <v>0.34373232164078621</v>
      </c>
      <c r="G3" s="3">
        <v>-0.77298977309322314</v>
      </c>
      <c r="H3" s="3">
        <v>-0.71308066060946274</v>
      </c>
      <c r="I3" s="3">
        <v>-1.500849409688513</v>
      </c>
      <c r="J3" s="3">
        <v>6.8569353034507494E-2</v>
      </c>
      <c r="K3" s="3">
        <v>-0.86594162617094861</v>
      </c>
      <c r="L3" s="3">
        <v>-0.31015024210368319</v>
      </c>
    </row>
    <row r="4" spans="1:12" x14ac:dyDescent="0.2">
      <c r="A4" s="2" t="s">
        <v>15</v>
      </c>
      <c r="B4" s="2" t="s">
        <v>16</v>
      </c>
      <c r="C4" s="3">
        <v>82.383104864611397</v>
      </c>
      <c r="D4" s="3">
        <v>84.331370770375457</v>
      </c>
      <c r="E4" s="3">
        <v>83.012913138250667</v>
      </c>
      <c r="F4" s="3">
        <v>-1.3184576321247901</v>
      </c>
      <c r="G4" s="3">
        <v>1.0998578101459831</v>
      </c>
      <c r="H4" s="3">
        <v>1.3033074066798469</v>
      </c>
      <c r="I4" s="3">
        <v>0.7152076676165946</v>
      </c>
      <c r="J4" s="3">
        <v>1.094564229069354</v>
      </c>
      <c r="K4" s="3">
        <v>1.558838838127574</v>
      </c>
      <c r="L4" s="3">
        <v>0.15884055672268041</v>
      </c>
    </row>
    <row r="5" spans="1:12" x14ac:dyDescent="0.2">
      <c r="A5" s="2" t="s">
        <v>17</v>
      </c>
      <c r="B5" s="2" t="s">
        <v>18</v>
      </c>
      <c r="C5" s="3">
        <v>68.71313283955628</v>
      </c>
      <c r="D5" s="3">
        <v>73.028039508928572</v>
      </c>
      <c r="E5" s="3">
        <v>72.900156066972258</v>
      </c>
      <c r="F5" s="3">
        <v>-0.12788344195631399</v>
      </c>
      <c r="G5" s="3">
        <v>-0.35859868677159951</v>
      </c>
      <c r="H5" s="3">
        <v>-1.080750027679503</v>
      </c>
      <c r="I5" s="3">
        <v>-1.289280589283111</v>
      </c>
      <c r="J5" s="3">
        <v>-0.31320991455948588</v>
      </c>
      <c r="K5" s="3">
        <v>-0.87325280103766878</v>
      </c>
      <c r="L5" s="3">
        <v>-5.741193174255714E-2</v>
      </c>
    </row>
    <row r="6" spans="1:12" x14ac:dyDescent="0.2">
      <c r="A6" s="2" t="s">
        <v>19</v>
      </c>
      <c r="B6" s="2" t="s">
        <v>20</v>
      </c>
      <c r="C6" s="3">
        <v>57.639983572933303</v>
      </c>
      <c r="D6" s="3">
        <v>63.242468954248373</v>
      </c>
      <c r="E6" s="3">
        <v>63.882218606230389</v>
      </c>
      <c r="F6" s="3">
        <v>0.63974965198201517</v>
      </c>
      <c r="G6" s="3">
        <v>-1.7436283836242541</v>
      </c>
      <c r="H6" s="3">
        <v>-1.3259444615341669</v>
      </c>
      <c r="I6" s="3">
        <v>-2.075549102389536</v>
      </c>
      <c r="J6" s="3">
        <v>-1.975251925161096</v>
      </c>
      <c r="K6" s="2"/>
      <c r="L6" s="3">
        <v>-0.97864498671735156</v>
      </c>
    </row>
    <row r="7" spans="1:12" x14ac:dyDescent="0.2">
      <c r="A7" s="2" t="s">
        <v>21</v>
      </c>
      <c r="B7" s="2" t="s">
        <v>22</v>
      </c>
      <c r="C7" s="3">
        <v>76.601243090195794</v>
      </c>
      <c r="D7" s="3">
        <v>79.43371541756855</v>
      </c>
      <c r="E7" s="3">
        <v>78.465706642050776</v>
      </c>
      <c r="F7" s="3">
        <v>-0.96800877551777376</v>
      </c>
      <c r="G7" s="3">
        <v>-2.2587757143953429E-2</v>
      </c>
      <c r="H7" s="3">
        <v>-1.4288937019053749</v>
      </c>
      <c r="I7" s="3">
        <v>0.4253645473556375</v>
      </c>
      <c r="J7" s="3">
        <v>0.5804048154290562</v>
      </c>
      <c r="K7" s="3">
        <v>-0.47539666806719261</v>
      </c>
      <c r="L7" s="3">
        <v>0.70336050519096993</v>
      </c>
    </row>
    <row r="8" spans="1:12" x14ac:dyDescent="0.2">
      <c r="A8" s="2" t="s">
        <v>23</v>
      </c>
      <c r="B8" s="2" t="s">
        <v>24</v>
      </c>
      <c r="C8" s="3">
        <v>77.073346196495123</v>
      </c>
      <c r="D8" s="3">
        <v>80.370938880400658</v>
      </c>
      <c r="E8" s="3">
        <v>80.673855105678626</v>
      </c>
      <c r="F8" s="3">
        <v>0.30291622527796852</v>
      </c>
      <c r="G8" s="3">
        <v>1.0313525241070669</v>
      </c>
      <c r="H8" s="3">
        <v>1.167021709608941</v>
      </c>
      <c r="I8" s="3">
        <v>1.4856465895543181</v>
      </c>
      <c r="J8" s="3">
        <v>0.29999386737897898</v>
      </c>
      <c r="K8" s="3">
        <v>1.183791979291414</v>
      </c>
      <c r="L8" s="3">
        <v>1.121843881774041</v>
      </c>
    </row>
    <row r="9" spans="1:12" x14ac:dyDescent="0.2">
      <c r="A9" s="2" t="s">
        <v>25</v>
      </c>
      <c r="B9" s="2" t="s">
        <v>26</v>
      </c>
      <c r="C9" s="3">
        <v>70.597983906289798</v>
      </c>
      <c r="D9" s="3">
        <v>73.498815056022423</v>
      </c>
      <c r="E9" s="3">
        <v>73.75069509803923</v>
      </c>
      <c r="F9" s="3">
        <v>0.25188004201680769</v>
      </c>
      <c r="G9" s="3">
        <v>-0.62841492116669484</v>
      </c>
      <c r="H9" s="3">
        <v>-1.279387121111297</v>
      </c>
      <c r="I9" s="3">
        <v>-0.81054024401862201</v>
      </c>
      <c r="J9" s="3">
        <v>-0.61218954604690379</v>
      </c>
      <c r="K9" s="3">
        <v>-0.96254393524950077</v>
      </c>
      <c r="L9" s="3">
        <v>-7.1076858275352969E-2</v>
      </c>
    </row>
    <row r="10" spans="1:12" x14ac:dyDescent="0.2">
      <c r="A10" s="2" t="s">
        <v>27</v>
      </c>
      <c r="B10" s="2" t="s">
        <v>28</v>
      </c>
      <c r="C10" s="3">
        <v>70.417480741525253</v>
      </c>
      <c r="D10" s="3">
        <v>72.727047871572893</v>
      </c>
      <c r="E10" s="3">
        <v>73.812205336983283</v>
      </c>
      <c r="F10" s="3">
        <v>1.0851574654103899</v>
      </c>
      <c r="G10" s="3">
        <v>-0.29238723899925928</v>
      </c>
      <c r="H10" s="3">
        <v>-0.71797646390515413</v>
      </c>
      <c r="I10" s="3">
        <v>0.6013698211407551</v>
      </c>
      <c r="J10" s="3">
        <v>-0.291313175902011</v>
      </c>
      <c r="K10" s="3">
        <v>1.4920160747877539E-2</v>
      </c>
      <c r="L10" s="3">
        <v>-1.1390400888127521</v>
      </c>
    </row>
    <row r="11" spans="1:12" x14ac:dyDescent="0.2">
      <c r="A11" s="2" t="s">
        <v>29</v>
      </c>
      <c r="B11" s="2" t="s">
        <v>30</v>
      </c>
      <c r="C11" s="3">
        <v>72.99846667939903</v>
      </c>
      <c r="D11" s="3">
        <v>75.953734243697482</v>
      </c>
      <c r="E11" s="3">
        <v>76.30265259103642</v>
      </c>
      <c r="F11" s="3">
        <v>0.34891834733893751</v>
      </c>
      <c r="G11" s="3">
        <v>-1.35590373583876E-2</v>
      </c>
      <c r="H11" s="3">
        <v>-0.4986862546113448</v>
      </c>
      <c r="I11" s="3">
        <v>-0.47634947797585248</v>
      </c>
      <c r="J11" s="3">
        <v>-8.7949196099529739E-2</v>
      </c>
      <c r="K11" s="3">
        <v>-0.49703224793683731</v>
      </c>
      <c r="L11" s="3">
        <v>0.35601290850490919</v>
      </c>
    </row>
    <row r="12" spans="1:12" x14ac:dyDescent="0.2">
      <c r="A12" s="2" t="s">
        <v>31</v>
      </c>
      <c r="B12" s="2" t="s">
        <v>32</v>
      </c>
      <c r="C12" s="3">
        <v>77.374365880153718</v>
      </c>
      <c r="D12" s="3">
        <v>79.037149011119595</v>
      </c>
      <c r="E12" s="3">
        <v>79.168558810797037</v>
      </c>
      <c r="F12" s="3">
        <v>0.13140979967744221</v>
      </c>
      <c r="G12" s="3">
        <v>0.98218321085308069</v>
      </c>
      <c r="H12" s="3">
        <v>1.425440194647712</v>
      </c>
      <c r="I12" s="3">
        <v>0.26244378983569538</v>
      </c>
      <c r="J12" s="3">
        <v>0.71687962193258525</v>
      </c>
      <c r="K12" s="3">
        <v>0.73375889704948294</v>
      </c>
      <c r="L12" s="3">
        <v>-0.42085156694275377</v>
      </c>
    </row>
    <row r="13" spans="1:12" x14ac:dyDescent="0.2">
      <c r="A13" s="2" t="s">
        <v>33</v>
      </c>
      <c r="B13" s="2" t="s">
        <v>34</v>
      </c>
      <c r="C13" s="3">
        <v>74.600733897222796</v>
      </c>
      <c r="D13" s="3">
        <v>77.805213891010951</v>
      </c>
      <c r="E13" s="3">
        <v>78.051832569391379</v>
      </c>
      <c r="F13" s="3">
        <v>0.24661867838042889</v>
      </c>
      <c r="G13" s="3">
        <v>0.10260199996284181</v>
      </c>
      <c r="H13" s="3">
        <v>0.59313860850715383</v>
      </c>
      <c r="I13" s="3">
        <v>-0.14671395707700291</v>
      </c>
      <c r="J13" s="3">
        <v>-0.33014011393466919</v>
      </c>
      <c r="K13" s="3">
        <v>-0.74628735394791601</v>
      </c>
      <c r="L13" s="3">
        <v>-0.44583929682131251</v>
      </c>
    </row>
    <row r="14" spans="1:12" x14ac:dyDescent="0.2">
      <c r="A14" s="2" t="s">
        <v>35</v>
      </c>
      <c r="B14" s="2" t="s">
        <v>36</v>
      </c>
      <c r="C14" s="3">
        <v>66.825083120229451</v>
      </c>
      <c r="D14" s="3">
        <v>73.985571236443292</v>
      </c>
      <c r="E14" s="3">
        <v>74.392781101414926</v>
      </c>
      <c r="F14" s="3">
        <v>0.40720986497163381</v>
      </c>
      <c r="G14" s="3">
        <v>-0.73614121147769462</v>
      </c>
      <c r="H14" s="3">
        <v>-0.28666160869578072</v>
      </c>
      <c r="I14" s="2"/>
      <c r="J14" s="3">
        <v>1.3980316374052231</v>
      </c>
      <c r="K14" s="3">
        <v>0.58442212594523113</v>
      </c>
      <c r="L14" s="3">
        <v>-0.79769764353745298</v>
      </c>
    </row>
    <row r="15" spans="1:12" x14ac:dyDescent="0.2">
      <c r="A15" s="2" t="s">
        <v>37</v>
      </c>
      <c r="B15" s="2" t="s">
        <v>38</v>
      </c>
      <c r="C15" s="3">
        <v>67.053078987063145</v>
      </c>
      <c r="D15" s="3">
        <v>69.374691683643164</v>
      </c>
      <c r="E15" s="3">
        <v>70.455097283762001</v>
      </c>
      <c r="F15" s="3">
        <v>1.0804056001188369</v>
      </c>
      <c r="G15" s="3">
        <v>-0.47385719684659589</v>
      </c>
      <c r="H15" s="3">
        <v>-0.63554739836585505</v>
      </c>
      <c r="I15" s="3">
        <v>-0.17470336898144201</v>
      </c>
      <c r="J15" s="3">
        <v>-1.087203871858375</v>
      </c>
      <c r="K15" s="3">
        <v>-0.88180546610492239</v>
      </c>
      <c r="L15" s="3">
        <v>-0.96172288636049119</v>
      </c>
    </row>
    <row r="16" spans="1:12" x14ac:dyDescent="0.2">
      <c r="A16" s="2" t="s">
        <v>39</v>
      </c>
      <c r="B16" s="2" t="s">
        <v>40</v>
      </c>
      <c r="C16" s="3">
        <v>70.049894415893078</v>
      </c>
      <c r="D16" s="3">
        <v>72.995214529751294</v>
      </c>
      <c r="E16" s="3">
        <v>73.443679982599093</v>
      </c>
      <c r="F16" s="3">
        <v>0.44846545284779887</v>
      </c>
      <c r="G16" s="3">
        <v>-0.16720789995992549</v>
      </c>
      <c r="H16" s="3">
        <v>-0.19506563638382171</v>
      </c>
      <c r="I16" s="3">
        <v>1.1040047095613621</v>
      </c>
      <c r="J16" s="3">
        <v>-1.224497103448855</v>
      </c>
      <c r="K16" s="3">
        <v>-0.67690345599089974</v>
      </c>
      <c r="L16" s="3">
        <v>-0.29800318377619972</v>
      </c>
    </row>
    <row r="17" spans="1:12" x14ac:dyDescent="0.2">
      <c r="A17" s="2" t="s">
        <v>41</v>
      </c>
      <c r="B17" s="2" t="s">
        <v>42</v>
      </c>
      <c r="C17" s="3">
        <v>77.336213901621264</v>
      </c>
      <c r="D17" s="3">
        <v>82.443467226890775</v>
      </c>
      <c r="E17" s="3">
        <v>82.389291783380003</v>
      </c>
      <c r="F17" s="3">
        <v>-5.417544351077197E-2</v>
      </c>
      <c r="G17" s="3">
        <v>0.30999718455426428</v>
      </c>
      <c r="H17" s="3">
        <v>5.0560490629476977E-2</v>
      </c>
      <c r="I17" s="3">
        <v>-0.39418616966903602</v>
      </c>
      <c r="J17" s="3">
        <v>0.25236542667995332</v>
      </c>
      <c r="K17" s="3">
        <v>-0.2124819189177842</v>
      </c>
      <c r="L17" s="3">
        <v>-9.9286927544406295E-2</v>
      </c>
    </row>
    <row r="18" spans="1:12" x14ac:dyDescent="0.2">
      <c r="A18" s="2" t="s">
        <v>43</v>
      </c>
      <c r="B18" s="2" t="s">
        <v>44</v>
      </c>
      <c r="C18" s="3">
        <v>70.558451309229994</v>
      </c>
      <c r="D18" s="3">
        <v>73.599996177188828</v>
      </c>
      <c r="E18" s="3">
        <v>73.75585951483157</v>
      </c>
      <c r="F18" s="3">
        <v>0.15586333764274229</v>
      </c>
      <c r="G18" s="3">
        <v>0.68235483464761193</v>
      </c>
      <c r="H18" s="3">
        <v>0.77092098108258034</v>
      </c>
      <c r="I18" s="3">
        <v>1.191488907526653</v>
      </c>
      <c r="J18" s="3">
        <v>-1.071640045392692</v>
      </c>
      <c r="K18" s="3">
        <v>-0.64105212976815429</v>
      </c>
      <c r="L18" s="3">
        <v>0.67125596453078318</v>
      </c>
    </row>
    <row r="19" spans="1:12" x14ac:dyDescent="0.2">
      <c r="A19" s="2" t="s">
        <v>45</v>
      </c>
      <c r="B19" s="2" t="s">
        <v>46</v>
      </c>
      <c r="C19" s="3">
        <v>79.478383370228258</v>
      </c>
      <c r="D19" s="3">
        <v>82.556665796356413</v>
      </c>
      <c r="E19" s="3">
        <v>81.93560967978101</v>
      </c>
      <c r="F19" s="3">
        <v>-0.62105611657540294</v>
      </c>
      <c r="G19" s="3">
        <v>0.63807276576269967</v>
      </c>
      <c r="H19" s="3">
        <v>0.5113462531022972</v>
      </c>
      <c r="I19" s="3">
        <v>-0.29995400641300929</v>
      </c>
      <c r="J19" s="3">
        <v>0.33934136305860468</v>
      </c>
      <c r="K19" s="3">
        <v>0.40905882015681527</v>
      </c>
      <c r="L19" s="3">
        <v>0.67719937670255381</v>
      </c>
    </row>
    <row r="20" spans="1:12" x14ac:dyDescent="0.2">
      <c r="A20" s="2" t="s">
        <v>47</v>
      </c>
      <c r="B20" s="2" t="s">
        <v>48</v>
      </c>
      <c r="C20" s="3">
        <v>82.961390756013145</v>
      </c>
      <c r="D20" s="3">
        <v>84.913087692046517</v>
      </c>
      <c r="E20" s="3">
        <v>85.256608318478911</v>
      </c>
      <c r="F20" s="3">
        <v>0.34352062643239378</v>
      </c>
      <c r="G20" s="3">
        <v>1.147903435389809</v>
      </c>
      <c r="H20" s="3">
        <v>1.680859235367147</v>
      </c>
      <c r="I20" s="3">
        <v>2.6154214993156768</v>
      </c>
      <c r="J20" s="3">
        <v>1.142026206918388</v>
      </c>
      <c r="K20" s="3">
        <v>1.629455808307696</v>
      </c>
      <c r="L20" s="3">
        <v>0.13222987282921639</v>
      </c>
    </row>
    <row r="21" spans="1:12" x14ac:dyDescent="0.2">
      <c r="A21" s="2" t="s">
        <v>49</v>
      </c>
      <c r="B21" s="2" t="s">
        <v>50</v>
      </c>
      <c r="C21" s="3">
        <v>65.232358363620932</v>
      </c>
      <c r="D21" s="3">
        <v>67.798087080892969</v>
      </c>
      <c r="E21" s="3">
        <v>68.091049849333672</v>
      </c>
      <c r="F21" s="3">
        <v>0.29296276844070229</v>
      </c>
      <c r="G21" s="3">
        <v>-0.61864865381417322</v>
      </c>
      <c r="H21" s="3">
        <v>-0.98005073118409591</v>
      </c>
      <c r="I21" s="3">
        <v>-0.2132773935772648</v>
      </c>
      <c r="J21" s="3">
        <v>-0.90319844174287289</v>
      </c>
      <c r="K21" s="3">
        <v>-0.57614862636106901</v>
      </c>
      <c r="L21" s="3">
        <v>-0.79634527040350134</v>
      </c>
    </row>
    <row r="22" spans="1:12" x14ac:dyDescent="0.2">
      <c r="A22" s="2" t="s">
        <v>51</v>
      </c>
      <c r="B22" s="2" t="s">
        <v>52</v>
      </c>
      <c r="C22" s="3">
        <v>76.596867706669457</v>
      </c>
      <c r="D22" s="3">
        <v>80.337069126135304</v>
      </c>
      <c r="E22" s="3">
        <v>80.760673525167647</v>
      </c>
      <c r="F22" s="3">
        <v>0.42360439903234243</v>
      </c>
      <c r="G22" s="3">
        <v>0.45345897022679688</v>
      </c>
      <c r="H22" s="3">
        <v>0.61702425339513611</v>
      </c>
      <c r="I22" s="3">
        <v>0.42721068173172638</v>
      </c>
      <c r="J22" s="3">
        <v>-0.22019164565924099</v>
      </c>
      <c r="K22" s="3">
        <v>0.21136593577137799</v>
      </c>
      <c r="L22" s="3">
        <v>0.91580729022754193</v>
      </c>
    </row>
    <row r="23" spans="1:12" x14ac:dyDescent="0.2">
      <c r="A23" s="2" t="s">
        <v>53</v>
      </c>
      <c r="B23" s="2" t="s">
        <v>54</v>
      </c>
      <c r="C23" s="3">
        <v>84.953574260958888</v>
      </c>
      <c r="D23" s="3">
        <v>86.762526130405547</v>
      </c>
      <c r="E23" s="3">
        <v>87.022461629710165</v>
      </c>
      <c r="F23" s="3">
        <v>0.25993549930461768</v>
      </c>
      <c r="G23" s="3">
        <v>0.98134848161596944</v>
      </c>
      <c r="H23" s="3">
        <v>1.738700098299834</v>
      </c>
      <c r="I23" s="3">
        <v>1.461091127940233</v>
      </c>
      <c r="J23" s="3">
        <v>1.234791399697923</v>
      </c>
      <c r="K23" s="3">
        <v>2.0841068078144018</v>
      </c>
      <c r="L23" s="3">
        <v>-0.26036930855167728</v>
      </c>
    </row>
    <row r="24" spans="1:12" x14ac:dyDescent="0.2">
      <c r="A24" s="2" t="s">
        <v>55</v>
      </c>
      <c r="B24" s="2" t="s">
        <v>56</v>
      </c>
      <c r="C24" s="3">
        <v>79.767984070942433</v>
      </c>
      <c r="D24" s="3">
        <v>82.994768531958243</v>
      </c>
      <c r="E24" s="3">
        <v>83.139233284525929</v>
      </c>
      <c r="F24" s="3">
        <v>0.14446475256768571</v>
      </c>
      <c r="G24" s="3">
        <v>0.89740182996049256</v>
      </c>
      <c r="H24" s="3">
        <v>1.094079332131368</v>
      </c>
      <c r="I24" s="3">
        <v>0.71605759868438112</v>
      </c>
      <c r="J24" s="3">
        <v>1.007290676130584</v>
      </c>
      <c r="K24" s="3">
        <v>1.052294366354015</v>
      </c>
      <c r="L24" s="3">
        <v>-0.55170862971879753</v>
      </c>
    </row>
    <row r="25" spans="1:12" x14ac:dyDescent="0.2">
      <c r="A25" s="2" t="s">
        <v>57</v>
      </c>
      <c r="B25" s="2" t="s">
        <v>58</v>
      </c>
      <c r="C25" s="3">
        <v>69.388030382896957</v>
      </c>
      <c r="D25" s="3">
        <v>73.368597387742994</v>
      </c>
      <c r="E25" s="3">
        <v>73.672216373822238</v>
      </c>
      <c r="F25" s="3">
        <v>0.30361898607924331</v>
      </c>
      <c r="G25" s="3">
        <v>-0.66225791384926103</v>
      </c>
      <c r="H25" s="3">
        <v>-0.26081272964961377</v>
      </c>
      <c r="I25" s="3">
        <v>-1.3521464673853301</v>
      </c>
      <c r="J25" s="3">
        <v>6.694628633918881E-2</v>
      </c>
      <c r="K25" s="3">
        <v>-0.87243428944415502</v>
      </c>
      <c r="L25" s="3">
        <v>-3.6755882303405138E-2</v>
      </c>
    </row>
    <row r="26" spans="1:12" x14ac:dyDescent="0.2">
      <c r="A26" s="2" t="s">
        <v>59</v>
      </c>
      <c r="B26" s="2" t="s">
        <v>60</v>
      </c>
      <c r="C26" s="3">
        <v>80.509770957956192</v>
      </c>
      <c r="D26" s="3">
        <v>83.247360294117655</v>
      </c>
      <c r="E26" s="3">
        <v>83.669599840845422</v>
      </c>
      <c r="F26" s="3">
        <v>0.42223954672776642</v>
      </c>
      <c r="G26" s="3">
        <v>1.0363245702832811</v>
      </c>
      <c r="H26" s="3">
        <v>1.176995141732426</v>
      </c>
      <c r="I26" s="3">
        <v>0.27528203139350421</v>
      </c>
      <c r="J26" s="3">
        <v>1.5756596583146421</v>
      </c>
      <c r="K26" s="3">
        <v>1.6320071013491211</v>
      </c>
      <c r="L26" s="3">
        <v>-0.32893416543314957</v>
      </c>
    </row>
    <row r="27" spans="1:12" x14ac:dyDescent="0.2">
      <c r="A27" s="2" t="s">
        <v>61</v>
      </c>
      <c r="B27" s="2" t="s">
        <v>62</v>
      </c>
      <c r="C27" s="3">
        <v>75.109476085916469</v>
      </c>
      <c r="D27" s="3">
        <v>78.880834101519383</v>
      </c>
      <c r="E27" s="3">
        <v>79.121656854256855</v>
      </c>
      <c r="F27" s="3">
        <v>0.240822752737472</v>
      </c>
      <c r="G27" s="3">
        <v>0.50351475465266615</v>
      </c>
      <c r="H27" s="3">
        <v>6.8116974563176107E-3</v>
      </c>
      <c r="I27" s="3">
        <v>-0.78632047678057082</v>
      </c>
      <c r="J27" s="3">
        <v>0.12231031599210911</v>
      </c>
      <c r="K27" s="3">
        <v>-0.26343914847150768</v>
      </c>
      <c r="L27" s="3">
        <v>-0.52745801459187491</v>
      </c>
    </row>
    <row r="28" spans="1:12" x14ac:dyDescent="0.2">
      <c r="A28" s="2" t="s">
        <v>63</v>
      </c>
      <c r="B28" s="2" t="s">
        <v>64</v>
      </c>
      <c r="C28" s="3">
        <v>56.565491362150922</v>
      </c>
      <c r="D28" s="3">
        <v>59.631920961718023</v>
      </c>
      <c r="E28" s="3">
        <v>59.863792343604118</v>
      </c>
      <c r="F28" s="3">
        <v>0.23187138188609421</v>
      </c>
      <c r="G28" s="3">
        <v>-0.86594629364441533</v>
      </c>
      <c r="H28" s="3">
        <v>-1.254503877956699</v>
      </c>
      <c r="I28" s="3">
        <v>-1.22838620256954</v>
      </c>
      <c r="J28" s="3">
        <v>-1.8209929042805399</v>
      </c>
      <c r="K28" s="3">
        <v>-1.0600079516576471</v>
      </c>
      <c r="L28" s="3">
        <v>-0.57760093682430624</v>
      </c>
    </row>
    <row r="29" spans="1:12" x14ac:dyDescent="0.2">
      <c r="A29" s="2" t="s">
        <v>65</v>
      </c>
      <c r="B29" s="2" t="s">
        <v>66</v>
      </c>
      <c r="C29" s="3">
        <v>79.428467432740874</v>
      </c>
      <c r="D29" s="3">
        <v>81.784664801517934</v>
      </c>
      <c r="E29" s="3">
        <v>80.373091641446791</v>
      </c>
      <c r="F29" s="3">
        <v>-1.411573160071143</v>
      </c>
      <c r="G29" s="3">
        <v>0.33119046680053632</v>
      </c>
      <c r="H29" s="3">
        <v>0.22314295891374841</v>
      </c>
      <c r="I29" s="3">
        <v>0.1741202093072772</v>
      </c>
      <c r="J29" s="3">
        <v>0.30227174135987439</v>
      </c>
      <c r="K29" s="3">
        <v>6.2483993800508418E-2</v>
      </c>
      <c r="L29" s="3">
        <v>1.0834292595268831</v>
      </c>
    </row>
    <row r="30" spans="1:12" x14ac:dyDescent="0.2">
      <c r="A30" s="2" t="s">
        <v>67</v>
      </c>
      <c r="B30" s="2" t="s">
        <v>68</v>
      </c>
      <c r="C30" s="3">
        <v>79.24049333142348</v>
      </c>
      <c r="D30" s="3">
        <v>80.346246848739497</v>
      </c>
      <c r="E30" s="3">
        <v>80.791794864612513</v>
      </c>
      <c r="F30" s="3">
        <v>0.4455480158730154</v>
      </c>
      <c r="G30" s="3">
        <v>1.078235669554531</v>
      </c>
      <c r="H30" s="3">
        <v>1.304570026586974</v>
      </c>
      <c r="I30" s="3">
        <v>2.217528594309365</v>
      </c>
      <c r="J30" s="3">
        <v>0.80093177687198558</v>
      </c>
      <c r="K30" s="3">
        <v>1.309722063881801</v>
      </c>
      <c r="L30" s="3">
        <v>-0.13935961718183501</v>
      </c>
    </row>
    <row r="31" spans="1:12" x14ac:dyDescent="0.2">
      <c r="A31" s="2" t="s">
        <v>69</v>
      </c>
      <c r="B31" s="2" t="s">
        <v>70</v>
      </c>
      <c r="C31" s="3">
        <v>58.495794382904677</v>
      </c>
      <c r="D31" s="3">
        <v>65.669412931839389</v>
      </c>
      <c r="E31" s="3">
        <v>66.954602497665732</v>
      </c>
      <c r="F31" s="3">
        <v>1.285189565826343</v>
      </c>
      <c r="G31" s="3">
        <v>-1.5648364161714989</v>
      </c>
      <c r="H31" s="3">
        <v>-0.49560294361349222</v>
      </c>
      <c r="I31" s="3">
        <v>-0.57166713756771004</v>
      </c>
      <c r="J31" s="3">
        <v>-0.8622633405397091</v>
      </c>
      <c r="K31" s="3">
        <v>-0.36788273399746491</v>
      </c>
      <c r="L31" s="3">
        <v>-0.85599091217352907</v>
      </c>
    </row>
    <row r="32" spans="1:12" x14ac:dyDescent="0.2">
      <c r="A32" s="2" t="s">
        <v>71</v>
      </c>
      <c r="B32" s="2" t="s">
        <v>72</v>
      </c>
      <c r="C32" s="3">
        <v>63.680775461548258</v>
      </c>
      <c r="D32" s="3">
        <v>69.510795168067219</v>
      </c>
      <c r="E32" s="3">
        <v>70.218873716153112</v>
      </c>
      <c r="F32" s="3">
        <v>0.70807854808589354</v>
      </c>
      <c r="G32" s="3">
        <v>-0.9580145483996475</v>
      </c>
      <c r="H32" s="3">
        <v>-0.72142616408152305</v>
      </c>
      <c r="I32" s="3">
        <v>-1.6940413460629851</v>
      </c>
      <c r="J32" s="3">
        <v>-1.3114660462793151</v>
      </c>
      <c r="K32" s="3">
        <v>-0.93176530814476255</v>
      </c>
      <c r="L32" s="3">
        <v>-0.71555960989241518</v>
      </c>
    </row>
    <row r="33" spans="1:12" x14ac:dyDescent="0.2">
      <c r="A33" s="2" t="s">
        <v>73</v>
      </c>
      <c r="B33" s="2" t="s">
        <v>74</v>
      </c>
      <c r="C33" s="3">
        <v>65.209345658263302</v>
      </c>
      <c r="D33" s="3">
        <v>69.341351283846862</v>
      </c>
      <c r="E33" s="3">
        <v>69.55890011671336</v>
      </c>
      <c r="F33" s="3">
        <v>0.21754883286649829</v>
      </c>
      <c r="G33" s="3">
        <v>-0.45087859561063798</v>
      </c>
      <c r="H33" s="3">
        <v>-1.09225004015914</v>
      </c>
      <c r="I33" s="3">
        <v>-0.73452221429650089</v>
      </c>
      <c r="J33" s="3">
        <v>0.63295198788042728</v>
      </c>
      <c r="K33" s="3">
        <v>-0.59446569063595878</v>
      </c>
      <c r="L33" s="3">
        <v>-0.79033823523483648</v>
      </c>
    </row>
    <row r="34" spans="1:12" x14ac:dyDescent="0.2">
      <c r="A34" s="2" t="s">
        <v>75</v>
      </c>
      <c r="B34" s="2" t="s">
        <v>76</v>
      </c>
      <c r="C34" s="3">
        <v>76.612049086163395</v>
      </c>
      <c r="D34" s="3">
        <v>78.154383672863105</v>
      </c>
      <c r="E34" s="3">
        <v>78.589964041677263</v>
      </c>
      <c r="F34" s="3">
        <v>0.43558036881415768</v>
      </c>
      <c r="G34" s="3">
        <v>1.2979017964190691</v>
      </c>
      <c r="H34" s="3">
        <v>1.098684875575989</v>
      </c>
      <c r="I34" s="3">
        <v>-0.12631168522516881</v>
      </c>
      <c r="J34" s="3">
        <v>-0.50085670646883096</v>
      </c>
      <c r="K34" s="3">
        <v>0.16552087716892341</v>
      </c>
      <c r="L34" s="3">
        <v>1.8292429203777221</v>
      </c>
    </row>
    <row r="35" spans="1:12" x14ac:dyDescent="0.2">
      <c r="A35" s="2" t="s">
        <v>77</v>
      </c>
      <c r="B35" s="2" t="s">
        <v>78</v>
      </c>
      <c r="C35" s="3">
        <v>71.755273040848039</v>
      </c>
      <c r="D35" s="3">
        <v>74.479993783667297</v>
      </c>
      <c r="E35" s="3">
        <v>74.458852174459551</v>
      </c>
      <c r="F35" s="3">
        <v>-2.114160920774566E-2</v>
      </c>
      <c r="G35" s="3">
        <v>0.60949523424179941</v>
      </c>
      <c r="H35" s="3">
        <v>0.8355987439874204</v>
      </c>
      <c r="I35" s="3">
        <v>1.0000462159209671</v>
      </c>
      <c r="J35" s="3">
        <v>0.9017356168657974</v>
      </c>
      <c r="K35" s="3">
        <v>3.2199064813890979</v>
      </c>
      <c r="L35" s="3">
        <v>-0.45027235552467781</v>
      </c>
    </row>
    <row r="36" spans="1:12" x14ac:dyDescent="0.2">
      <c r="A36" s="2" t="s">
        <v>79</v>
      </c>
      <c r="B36" s="2" t="s">
        <v>80</v>
      </c>
      <c r="C36" s="3">
        <v>76.534426527594505</v>
      </c>
      <c r="D36" s="3">
        <v>79.877581943383419</v>
      </c>
      <c r="E36" s="3">
        <v>80.260133471267295</v>
      </c>
      <c r="F36" s="3">
        <v>0.38255152788387647</v>
      </c>
      <c r="G36" s="3">
        <v>0.89834434271027475</v>
      </c>
      <c r="H36" s="3">
        <v>2.3969496486796211E-2</v>
      </c>
      <c r="I36" s="3">
        <v>-0.26815988081867098</v>
      </c>
      <c r="J36" s="3">
        <v>0.79109705947777531</v>
      </c>
      <c r="K36" s="3">
        <v>0.1220534988969426</v>
      </c>
      <c r="L36" s="3">
        <v>-0.66863892111738576</v>
      </c>
    </row>
    <row r="37" spans="1:12" x14ac:dyDescent="0.2">
      <c r="A37" s="2" t="s">
        <v>81</v>
      </c>
      <c r="B37" s="2" t="s">
        <v>82</v>
      </c>
      <c r="C37" s="3">
        <v>78.206784157190114</v>
      </c>
      <c r="D37" s="3">
        <v>80.060892330382018</v>
      </c>
      <c r="E37" s="3">
        <v>80.661850830705248</v>
      </c>
      <c r="F37" s="3">
        <v>0.60095850032323028</v>
      </c>
      <c r="G37" s="3">
        <v>0.70925309757130439</v>
      </c>
      <c r="H37" s="3">
        <v>1.098088865010219</v>
      </c>
      <c r="I37" s="3">
        <v>-0.98920785333862049</v>
      </c>
      <c r="J37" s="3">
        <v>2.406786566166963</v>
      </c>
      <c r="K37" s="3">
        <v>2.0389828749254111</v>
      </c>
      <c r="L37" s="3">
        <v>-1.086017830745023</v>
      </c>
    </row>
    <row r="38" spans="1:12" x14ac:dyDescent="0.2">
      <c r="A38" s="2" t="s">
        <v>83</v>
      </c>
      <c r="B38" s="2" t="s">
        <v>84</v>
      </c>
      <c r="C38" s="3">
        <v>68.015639099702383</v>
      </c>
      <c r="D38" s="3">
        <v>71.373615624999985</v>
      </c>
      <c r="E38" s="3">
        <v>71.517850931584761</v>
      </c>
      <c r="F38" s="3">
        <v>0.14423530658477551</v>
      </c>
      <c r="G38" s="3">
        <v>0.17059510526770891</v>
      </c>
      <c r="H38" s="3">
        <v>-0.93562980882410995</v>
      </c>
      <c r="I38" s="3">
        <v>-1.1563142969390801</v>
      </c>
      <c r="J38" s="3">
        <v>0.44597240874468769</v>
      </c>
      <c r="K38" s="3">
        <v>-0.91812626142179488</v>
      </c>
      <c r="L38" s="3">
        <v>-0.2366443066620211</v>
      </c>
    </row>
    <row r="39" spans="1:12" x14ac:dyDescent="0.2">
      <c r="A39" s="2" t="s">
        <v>85</v>
      </c>
      <c r="B39" s="2" t="s">
        <v>86</v>
      </c>
      <c r="C39" s="3">
        <v>55.924861482471783</v>
      </c>
      <c r="D39" s="3">
        <v>60.783007236227817</v>
      </c>
      <c r="E39" s="3">
        <v>61.928932492997177</v>
      </c>
      <c r="F39" s="3">
        <v>1.1459252567693601</v>
      </c>
      <c r="G39" s="3">
        <v>-1.7969256989395159</v>
      </c>
      <c r="H39" s="3">
        <v>-1.075670727839583</v>
      </c>
      <c r="I39" s="3">
        <v>0.69058759528926139</v>
      </c>
      <c r="J39" s="3">
        <v>-1.371439576239593</v>
      </c>
      <c r="K39" s="3">
        <v>-0.58159384531467406</v>
      </c>
      <c r="L39" s="3">
        <v>-0.76196157913345008</v>
      </c>
    </row>
    <row r="40" spans="1:12" x14ac:dyDescent="0.2">
      <c r="A40" s="2" t="s">
        <v>87</v>
      </c>
      <c r="B40" s="2" t="s">
        <v>88</v>
      </c>
      <c r="C40" s="3">
        <v>75.312239233642174</v>
      </c>
      <c r="D40" s="3">
        <v>77.70944668354521</v>
      </c>
      <c r="E40" s="3">
        <v>78.11618382532501</v>
      </c>
      <c r="F40" s="3">
        <v>0.40673714177980003</v>
      </c>
      <c r="G40" s="3">
        <v>0.64674240650706893</v>
      </c>
      <c r="H40" s="3">
        <v>0.62945426018169714</v>
      </c>
      <c r="I40" s="3">
        <v>-1.14589251475483E-2</v>
      </c>
      <c r="J40" s="3">
        <v>2.4862187346249338</v>
      </c>
      <c r="K40" s="3">
        <v>2.309831363272222</v>
      </c>
      <c r="L40" s="3">
        <v>-0.26115752039886658</v>
      </c>
    </row>
    <row r="41" spans="1:12" x14ac:dyDescent="0.2">
      <c r="A41" s="2" t="s">
        <v>89</v>
      </c>
      <c r="B41" s="2" t="s">
        <v>90</v>
      </c>
      <c r="C41" s="3">
        <v>69.895955115891056</v>
      </c>
      <c r="D41" s="3">
        <v>74.214399751984118</v>
      </c>
      <c r="E41" s="3">
        <v>74.503562789661302</v>
      </c>
      <c r="F41" s="3">
        <v>0.28916303767718432</v>
      </c>
      <c r="G41" s="3">
        <v>-1.653346305854871</v>
      </c>
      <c r="H41" s="3">
        <v>-1.281538480834769</v>
      </c>
      <c r="I41" s="3">
        <v>0.79326160273754864</v>
      </c>
      <c r="J41" s="3">
        <v>-0.35474488331257498</v>
      </c>
      <c r="K41" s="3">
        <v>-0.94914370942942183</v>
      </c>
      <c r="L41" s="3">
        <v>0.3467600842454332</v>
      </c>
    </row>
    <row r="42" spans="1:12" x14ac:dyDescent="0.2">
      <c r="A42" s="2" t="s">
        <v>91</v>
      </c>
      <c r="B42" s="2" t="s">
        <v>92</v>
      </c>
      <c r="C42" s="3">
        <v>77.542071422591079</v>
      </c>
      <c r="D42" s="3">
        <v>80.690937388591792</v>
      </c>
      <c r="E42" s="3">
        <v>81.191025447754868</v>
      </c>
      <c r="F42" s="3">
        <v>0.50008805916307608</v>
      </c>
      <c r="G42" s="3">
        <v>0.2179381969247555</v>
      </c>
      <c r="H42" s="3">
        <v>0.29552898123944099</v>
      </c>
      <c r="I42" s="3">
        <v>0.60003133868150937</v>
      </c>
      <c r="J42" s="3">
        <v>0.28883191874635872</v>
      </c>
      <c r="K42" s="3">
        <v>-0.543492637007018</v>
      </c>
      <c r="L42" s="3">
        <v>0.38826790860247451</v>
      </c>
    </row>
    <row r="43" spans="1:12" x14ac:dyDescent="0.2">
      <c r="A43" s="2" t="s">
        <v>93</v>
      </c>
      <c r="B43" s="2" t="s">
        <v>94</v>
      </c>
      <c r="C43" s="3">
        <v>75.282893512184486</v>
      </c>
      <c r="D43" s="3">
        <v>77.690405595874722</v>
      </c>
      <c r="E43" s="3">
        <v>78.808598198370262</v>
      </c>
      <c r="F43" s="3">
        <v>1.11819260249554</v>
      </c>
      <c r="G43" s="3">
        <v>0.35279329629068351</v>
      </c>
      <c r="H43" s="3">
        <v>0.36412919985430542</v>
      </c>
      <c r="I43" s="3">
        <v>0.134022593037676</v>
      </c>
      <c r="J43" s="3">
        <v>-0.1828754264473412</v>
      </c>
      <c r="K43" s="3">
        <v>-0.25277679616696053</v>
      </c>
      <c r="L43" s="3">
        <v>0.66959973703683784</v>
      </c>
    </row>
    <row r="44" spans="1:12" x14ac:dyDescent="0.2">
      <c r="A44" s="2" t="s">
        <v>95</v>
      </c>
      <c r="B44" s="2" t="s">
        <v>96</v>
      </c>
      <c r="C44" s="3">
        <v>73.455531715183497</v>
      </c>
      <c r="D44" s="3">
        <v>76.712427272727268</v>
      </c>
      <c r="E44" s="3">
        <v>76.72567524722011</v>
      </c>
      <c r="F44" s="3">
        <v>1.324797449284176E-2</v>
      </c>
      <c r="G44" s="3">
        <v>1.9516582814206</v>
      </c>
      <c r="H44" s="3">
        <v>1.369751590727307</v>
      </c>
      <c r="I44" s="3">
        <v>-0.68521718612391402</v>
      </c>
      <c r="J44" s="3">
        <v>0.82404067810921089</v>
      </c>
      <c r="K44" s="3">
        <v>0.26332926002740281</v>
      </c>
      <c r="L44" s="3">
        <v>3.9940654061977439</v>
      </c>
    </row>
    <row r="45" spans="1:12" x14ac:dyDescent="0.2">
      <c r="A45" s="2" t="s">
        <v>97</v>
      </c>
      <c r="B45" s="2" t="s">
        <v>98</v>
      </c>
      <c r="C45" s="3">
        <v>48.080864294039287</v>
      </c>
      <c r="D45" s="3">
        <v>51.212910838181443</v>
      </c>
      <c r="E45" s="3">
        <v>51.048877847805777</v>
      </c>
      <c r="F45" s="3">
        <v>-0.16403299037566649</v>
      </c>
      <c r="G45" s="3">
        <v>-2.8671946598752802</v>
      </c>
      <c r="H45" s="3">
        <v>-1.4652146603046829</v>
      </c>
      <c r="I45" s="3">
        <v>-1.546431423082385</v>
      </c>
      <c r="J45" s="3">
        <v>-2.007732134086464</v>
      </c>
      <c r="K45" s="3">
        <v>-0.97939563388969031</v>
      </c>
      <c r="L45" s="3">
        <v>-0.60170496648050131</v>
      </c>
    </row>
    <row r="46" spans="1:12" x14ac:dyDescent="0.2">
      <c r="A46" s="2" t="s">
        <v>99</v>
      </c>
      <c r="B46" s="2" t="s">
        <v>100</v>
      </c>
      <c r="C46" s="3">
        <v>65.292386962057549</v>
      </c>
      <c r="D46" s="3">
        <v>68.266482002801126</v>
      </c>
      <c r="E46" s="3">
        <v>69.520162254901948</v>
      </c>
      <c r="F46" s="3">
        <v>1.253680252100821</v>
      </c>
      <c r="G46" s="3">
        <v>0.1118022139718486</v>
      </c>
      <c r="H46" s="3">
        <v>0.59050398693633721</v>
      </c>
      <c r="I46" s="3">
        <v>0.59471133883089866</v>
      </c>
      <c r="J46" s="3">
        <v>-0.13904565987542949</v>
      </c>
      <c r="K46" s="3">
        <v>-0.16175445493621249</v>
      </c>
      <c r="L46" s="3">
        <v>1.3142033643786171</v>
      </c>
    </row>
    <row r="47" spans="1:12" x14ac:dyDescent="0.2">
      <c r="A47" s="2" t="s">
        <v>101</v>
      </c>
      <c r="B47" s="2" t="s">
        <v>102</v>
      </c>
      <c r="C47" s="3">
        <v>74.429972071555895</v>
      </c>
      <c r="D47" s="3">
        <v>77.933704668534062</v>
      </c>
      <c r="E47" s="3">
        <v>79.285931792717093</v>
      </c>
      <c r="F47" s="3">
        <v>1.352227124183031</v>
      </c>
      <c r="G47" s="3">
        <v>0.66919925660069712</v>
      </c>
      <c r="H47" s="3">
        <v>0.61108244657666677</v>
      </c>
      <c r="I47" s="3">
        <v>0.78588265558165882</v>
      </c>
      <c r="J47" s="3">
        <v>-0.26278017783736479</v>
      </c>
      <c r="K47" s="3">
        <v>-0.53508422076474638</v>
      </c>
      <c r="L47" s="3">
        <v>1.794562142553094</v>
      </c>
    </row>
    <row r="48" spans="1:12" x14ac:dyDescent="0.2">
      <c r="A48" s="2" t="s">
        <v>103</v>
      </c>
      <c r="B48" s="2" t="s">
        <v>104</v>
      </c>
      <c r="C48" s="3">
        <v>65.716336985496682</v>
      </c>
      <c r="D48" s="3">
        <v>69.499782072829134</v>
      </c>
      <c r="E48" s="3">
        <v>70.798305742296918</v>
      </c>
      <c r="F48" s="3">
        <v>1.298523669467784</v>
      </c>
      <c r="G48" s="3">
        <v>-6.8866856490204728E-2</v>
      </c>
      <c r="H48" s="3">
        <v>-0.43265022213309712</v>
      </c>
      <c r="I48" s="3">
        <v>-3.9812040218825699E-3</v>
      </c>
      <c r="J48" s="3">
        <v>-0.84913339531866117</v>
      </c>
      <c r="K48" s="3">
        <v>-0.73694105230280293</v>
      </c>
      <c r="L48" s="3">
        <v>-0.50561400633009312</v>
      </c>
    </row>
    <row r="49" spans="1:12" x14ac:dyDescent="0.2">
      <c r="A49" s="2" t="s">
        <v>105</v>
      </c>
      <c r="B49" s="2" t="s">
        <v>106</v>
      </c>
      <c r="C49" s="3">
        <v>73.520244764610396</v>
      </c>
      <c r="D49" s="3">
        <v>79.082358928571409</v>
      </c>
      <c r="E49" s="3">
        <v>78.765586249045086</v>
      </c>
      <c r="F49" s="3">
        <v>-0.31677267952632349</v>
      </c>
      <c r="G49" s="3">
        <v>-0.84853158177480859</v>
      </c>
      <c r="H49" s="3">
        <v>-1.1582973439604149</v>
      </c>
      <c r="I49" s="3">
        <v>1.5472515851027311</v>
      </c>
      <c r="J49" s="3">
        <v>0.28828949234677459</v>
      </c>
      <c r="K49" s="3">
        <v>-0.75914284851799674</v>
      </c>
      <c r="L49" s="3">
        <v>0.33756598845758579</v>
      </c>
    </row>
    <row r="50" spans="1:12" x14ac:dyDescent="0.2">
      <c r="A50" s="2" t="s">
        <v>107</v>
      </c>
      <c r="B50" s="2" t="s">
        <v>108</v>
      </c>
      <c r="C50" s="3">
        <v>63.197145597205832</v>
      </c>
      <c r="D50" s="3">
        <v>66.094866734307374</v>
      </c>
      <c r="E50" s="3">
        <v>66.749046867838047</v>
      </c>
      <c r="F50" s="3">
        <v>0.65418013353067295</v>
      </c>
      <c r="G50" s="3">
        <v>-0.79155276581747225</v>
      </c>
      <c r="H50" s="3">
        <v>-0.93503908023731397</v>
      </c>
      <c r="I50" s="3">
        <v>0.31053054451582451</v>
      </c>
      <c r="J50" s="3">
        <v>1.4388296883885919E-2</v>
      </c>
      <c r="K50" s="3">
        <v>-0.89424682768636987</v>
      </c>
      <c r="L50" s="3">
        <v>0.4399613650982247</v>
      </c>
    </row>
    <row r="51" spans="1:12" x14ac:dyDescent="0.2">
      <c r="A51" s="2" t="s">
        <v>109</v>
      </c>
      <c r="B51" s="2" t="s">
        <v>110</v>
      </c>
      <c r="C51" s="3">
        <v>77.741634782775165</v>
      </c>
      <c r="D51" s="3">
        <v>79.539145056903905</v>
      </c>
      <c r="E51" s="3">
        <v>79.981429837482779</v>
      </c>
      <c r="F51" s="3">
        <v>0.44228478057887338</v>
      </c>
      <c r="G51" s="3">
        <v>1.140992856480036</v>
      </c>
      <c r="H51" s="3">
        <v>1.4872509665051239</v>
      </c>
      <c r="I51" s="3">
        <v>0.46336852631894881</v>
      </c>
      <c r="J51" s="3">
        <v>0.73332845217780629</v>
      </c>
      <c r="K51" s="3">
        <v>0.82339866622269353</v>
      </c>
      <c r="L51" s="3">
        <v>0.85976479251196958</v>
      </c>
    </row>
    <row r="52" spans="1:12" x14ac:dyDescent="0.2">
      <c r="A52" s="2" t="s">
        <v>111</v>
      </c>
      <c r="B52" s="2" t="s">
        <v>112</v>
      </c>
      <c r="C52" s="3">
        <v>80.887872769201991</v>
      </c>
      <c r="D52" s="3">
        <v>82.33344372686139</v>
      </c>
      <c r="E52" s="3">
        <v>82.720585497998741</v>
      </c>
      <c r="F52" s="3">
        <v>0.38714177113735099</v>
      </c>
      <c r="G52" s="3">
        <v>1.483509273243063</v>
      </c>
      <c r="H52" s="3">
        <v>1.5274658669439061</v>
      </c>
      <c r="I52" s="3">
        <v>2.0971319946644651</v>
      </c>
      <c r="J52" s="3">
        <v>1.030186493507387</v>
      </c>
      <c r="K52" s="3">
        <v>0.6359995688241763</v>
      </c>
      <c r="L52" s="3">
        <v>-0.36818137184916661</v>
      </c>
    </row>
    <row r="53" spans="1:12" x14ac:dyDescent="0.2">
      <c r="A53" s="2" t="s">
        <v>113</v>
      </c>
      <c r="B53" s="2" t="s">
        <v>114</v>
      </c>
      <c r="C53" s="3">
        <v>52.856247307290161</v>
      </c>
      <c r="D53" s="3">
        <v>56.488213862281512</v>
      </c>
      <c r="E53" s="3">
        <v>56.966132850646083</v>
      </c>
      <c r="F53" s="3">
        <v>0.47791898836457142</v>
      </c>
      <c r="G53" s="3">
        <v>-1.784100858326275</v>
      </c>
      <c r="H53" s="3">
        <v>-1.185322620937276</v>
      </c>
      <c r="I53" s="3">
        <v>-1.9834696823495259</v>
      </c>
      <c r="J53" s="3">
        <v>-1.8054097667480771</v>
      </c>
      <c r="K53" s="3">
        <v>-0.85578407693637359</v>
      </c>
      <c r="L53" s="3">
        <v>-1.1117251235183661</v>
      </c>
    </row>
    <row r="54" spans="1:12" x14ac:dyDescent="0.2">
      <c r="A54" s="2" t="s">
        <v>115</v>
      </c>
      <c r="B54" s="2" t="s">
        <v>116</v>
      </c>
      <c r="C54" s="3">
        <v>64.068159244023022</v>
      </c>
      <c r="D54" s="3">
        <v>68.458757379599575</v>
      </c>
      <c r="E54" s="3">
        <v>68.12603140013583</v>
      </c>
      <c r="F54" s="3">
        <v>-0.3327259794637456</v>
      </c>
      <c r="G54" s="3">
        <v>-0.61633336612648004</v>
      </c>
      <c r="H54" s="3">
        <v>-1.421264579132641</v>
      </c>
      <c r="I54" s="3">
        <v>-1.003662286026261</v>
      </c>
      <c r="J54" s="3">
        <v>-1.356402141202846</v>
      </c>
      <c r="K54" s="3">
        <v>-1.010555987923824</v>
      </c>
      <c r="L54" s="3">
        <v>-0.27464996286352761</v>
      </c>
    </row>
    <row r="55" spans="1:12" x14ac:dyDescent="0.2">
      <c r="A55" s="2" t="s">
        <v>117</v>
      </c>
      <c r="B55" s="2" t="s">
        <v>118</v>
      </c>
      <c r="C55" s="3">
        <v>66.37827426711732</v>
      </c>
      <c r="D55" s="3">
        <v>72.049185603938554</v>
      </c>
      <c r="E55" s="3">
        <v>72.669447239198718</v>
      </c>
      <c r="F55" s="3">
        <v>0.62026163526016376</v>
      </c>
      <c r="G55" s="3">
        <v>-0.68044566773729964</v>
      </c>
      <c r="H55" s="3">
        <v>-0.8940425704474767</v>
      </c>
      <c r="I55" s="3">
        <v>-1.046479765796996</v>
      </c>
      <c r="J55" s="3">
        <v>-1.5071455611515401</v>
      </c>
      <c r="K55" s="3">
        <v>-0.98606517641509095</v>
      </c>
      <c r="L55" s="3">
        <v>-0.77414126043458831</v>
      </c>
    </row>
    <row r="56" spans="1:12" x14ac:dyDescent="0.2">
      <c r="A56" s="2" t="s">
        <v>119</v>
      </c>
      <c r="B56" s="2" t="s">
        <v>120</v>
      </c>
      <c r="C56" s="3">
        <v>61.406132770987178</v>
      </c>
      <c r="D56" s="3">
        <v>66.726128127917832</v>
      </c>
      <c r="E56" s="3">
        <v>68.335205298786192</v>
      </c>
      <c r="F56" s="3">
        <v>1.60907717086836</v>
      </c>
      <c r="G56" s="3">
        <v>-1.316476486588261</v>
      </c>
      <c r="H56" s="3">
        <v>-0.46004106029966418</v>
      </c>
      <c r="I56" s="3">
        <v>-1.243053702139185</v>
      </c>
      <c r="J56" s="3">
        <v>-1.3792123085464001</v>
      </c>
      <c r="K56" s="3">
        <v>-0.95860002607366324</v>
      </c>
      <c r="L56" s="3">
        <v>-0.36052686050906307</v>
      </c>
    </row>
    <row r="57" spans="1:12" x14ac:dyDescent="0.2">
      <c r="A57" s="2" t="s">
        <v>121</v>
      </c>
      <c r="B57" s="2" t="s">
        <v>122</v>
      </c>
      <c r="C57" s="3">
        <v>77.761200376806798</v>
      </c>
      <c r="D57" s="3">
        <v>81.106078088578087</v>
      </c>
      <c r="E57" s="3">
        <v>82.082900944480372</v>
      </c>
      <c r="F57" s="3">
        <v>0.97682285590228446</v>
      </c>
      <c r="G57" s="3">
        <v>0.26300236878016531</v>
      </c>
      <c r="H57" s="3">
        <v>7.2634829734621889E-2</v>
      </c>
      <c r="I57" s="3">
        <v>0.30366392062867442</v>
      </c>
      <c r="J57" s="3">
        <v>0.46192477745085031</v>
      </c>
      <c r="K57" s="3">
        <v>-0.27027596277486382</v>
      </c>
      <c r="L57" s="3">
        <v>-0.11414008092574771</v>
      </c>
    </row>
    <row r="58" spans="1:12" x14ac:dyDescent="0.2">
      <c r="A58" s="2" t="s">
        <v>123</v>
      </c>
      <c r="B58" s="2" t="s">
        <v>124</v>
      </c>
      <c r="C58" s="3">
        <v>76.431313123210714</v>
      </c>
      <c r="D58" s="3">
        <v>80.55832316017316</v>
      </c>
      <c r="E58" s="3">
        <v>80.640692668279442</v>
      </c>
      <c r="F58" s="3">
        <v>8.2369508106282296E-2</v>
      </c>
      <c r="G58" s="3">
        <v>0.55814371597249157</v>
      </c>
      <c r="H58" s="3">
        <v>0.65273034685607756</v>
      </c>
      <c r="I58" s="3">
        <v>0.3781867882892635</v>
      </c>
      <c r="J58" s="3">
        <v>8.618333288140903E-2</v>
      </c>
      <c r="K58" s="3">
        <v>8.8994293069879341E-2</v>
      </c>
      <c r="L58" s="3">
        <v>-0.30790981006707208</v>
      </c>
    </row>
    <row r="59" spans="1:12" x14ac:dyDescent="0.2">
      <c r="A59" s="2" t="s">
        <v>125</v>
      </c>
      <c r="B59" s="2" t="s">
        <v>126</v>
      </c>
      <c r="C59" s="3">
        <v>73.567726821789321</v>
      </c>
      <c r="D59" s="3">
        <v>77.555410224089641</v>
      </c>
      <c r="E59" s="3">
        <v>77.672961531279185</v>
      </c>
      <c r="F59" s="3">
        <v>0.1175513071895438</v>
      </c>
      <c r="G59" s="3">
        <v>0.18801335210840281</v>
      </c>
      <c r="H59" s="3">
        <v>-0.67229847582068814</v>
      </c>
      <c r="I59" s="3">
        <v>-0.9396962585856693</v>
      </c>
      <c r="J59" s="3">
        <v>0.15021335642749939</v>
      </c>
      <c r="K59" s="3">
        <v>-0.6572229782906932</v>
      </c>
      <c r="L59" s="3">
        <v>-0.34794112394766502</v>
      </c>
    </row>
    <row r="60" spans="1:12" x14ac:dyDescent="0.2">
      <c r="A60" s="2" t="s">
        <v>127</v>
      </c>
      <c r="B60" s="2" t="s">
        <v>128</v>
      </c>
      <c r="C60" s="3">
        <v>70.879759933204056</v>
      </c>
      <c r="D60" s="3">
        <v>74.343976438267617</v>
      </c>
      <c r="E60" s="3">
        <v>74.125948516842641</v>
      </c>
      <c r="F60" s="3">
        <v>-0.21802792142497651</v>
      </c>
      <c r="G60" s="3">
        <v>0.40680694834620829</v>
      </c>
      <c r="H60" s="3">
        <v>-0.90431543159991501</v>
      </c>
      <c r="I60" s="3">
        <v>-0.58695818614381923</v>
      </c>
      <c r="J60" s="3">
        <v>0.88230142641067988</v>
      </c>
      <c r="K60" s="3">
        <v>-1.178969410406005E-2</v>
      </c>
      <c r="L60" s="3">
        <v>-0.68279060754154375</v>
      </c>
    </row>
    <row r="61" spans="1:12" x14ac:dyDescent="0.2">
      <c r="A61" s="2" t="s">
        <v>129</v>
      </c>
      <c r="B61" s="2" t="s">
        <v>130</v>
      </c>
      <c r="C61" s="3">
        <v>73.740563909898498</v>
      </c>
      <c r="D61" s="3">
        <v>78.961247767857131</v>
      </c>
      <c r="E61" s="3">
        <v>78.161264463967413</v>
      </c>
      <c r="F61" s="3">
        <v>-0.79998330388971794</v>
      </c>
      <c r="G61" s="3">
        <v>-0.26894490947468008</v>
      </c>
      <c r="H61" s="3">
        <v>-0.69788252820133601</v>
      </c>
      <c r="I61" s="3">
        <v>-0.70858036586389817</v>
      </c>
      <c r="J61" s="3">
        <v>-4.8740765418523173E-2</v>
      </c>
      <c r="K61" s="3">
        <v>-0.40843415502934388</v>
      </c>
      <c r="L61" s="3">
        <v>-0.199317137056611</v>
      </c>
    </row>
    <row r="62" spans="1:12" x14ac:dyDescent="0.2">
      <c r="A62" s="2" t="s">
        <v>131</v>
      </c>
      <c r="B62" s="2" t="s">
        <v>132</v>
      </c>
      <c r="C62" s="3">
        <v>67.496133502885996</v>
      </c>
      <c r="D62" s="3">
        <v>68.802425317460333</v>
      </c>
      <c r="E62" s="3">
        <v>71.543615668767529</v>
      </c>
      <c r="F62" s="3">
        <v>2.7411903513071958</v>
      </c>
      <c r="G62" s="3">
        <v>1.6301909870754621</v>
      </c>
      <c r="H62" s="3">
        <v>1.87502244215713</v>
      </c>
      <c r="I62" s="3">
        <v>-1.1880467593704429</v>
      </c>
      <c r="J62" s="3">
        <v>1.001134765630874</v>
      </c>
      <c r="K62" s="3">
        <v>0.94178292185109314</v>
      </c>
      <c r="L62" s="3">
        <v>4.8796012363868178</v>
      </c>
    </row>
    <row r="63" spans="1:12" x14ac:dyDescent="0.2">
      <c r="A63" s="2" t="s">
        <v>133</v>
      </c>
      <c r="B63" s="2" t="s">
        <v>134</v>
      </c>
      <c r="C63" s="3">
        <v>78.226170242912076</v>
      </c>
      <c r="D63" s="3">
        <v>80.839402238906914</v>
      </c>
      <c r="E63" s="3">
        <v>80.774353010143471</v>
      </c>
      <c r="F63" s="3">
        <v>-6.5049228763442102E-2</v>
      </c>
      <c r="G63" s="3">
        <v>0.30600694572326997</v>
      </c>
      <c r="H63" s="3">
        <v>0.27873112639241121</v>
      </c>
      <c r="I63" s="3">
        <v>-0.42419155095654931</v>
      </c>
      <c r="J63" s="3">
        <v>-4.9775635600157507E-3</v>
      </c>
      <c r="K63" s="3">
        <v>-0.41123998962354752</v>
      </c>
      <c r="L63" s="3">
        <v>1.2520313042246041</v>
      </c>
    </row>
    <row r="64" spans="1:12" x14ac:dyDescent="0.2">
      <c r="A64" s="2" t="s">
        <v>135</v>
      </c>
      <c r="B64" s="2" t="s">
        <v>136</v>
      </c>
      <c r="C64" s="3">
        <v>78.295925694106842</v>
      </c>
      <c r="D64" s="3">
        <v>80.29760544520839</v>
      </c>
      <c r="E64" s="3">
        <v>81.205378471691688</v>
      </c>
      <c r="F64" s="3">
        <v>0.90777302648329794</v>
      </c>
      <c r="G64" s="3">
        <v>0.60338538470009773</v>
      </c>
      <c r="H64" s="3">
        <v>0.57770935997142936</v>
      </c>
      <c r="I64" s="3">
        <v>0.65350820049854752</v>
      </c>
      <c r="J64" s="3">
        <v>0.81629781267822066</v>
      </c>
      <c r="K64" s="3">
        <v>0.75062057948435512</v>
      </c>
      <c r="L64" s="3">
        <v>0.79100413746546583</v>
      </c>
    </row>
    <row r="65" spans="1:12" x14ac:dyDescent="0.2">
      <c r="A65" s="2" t="s">
        <v>137</v>
      </c>
      <c r="B65" s="2" t="s">
        <v>138</v>
      </c>
      <c r="C65" s="3">
        <v>59.179360636155288</v>
      </c>
      <c r="D65" s="3">
        <v>63.849057189542478</v>
      </c>
      <c r="E65" s="3">
        <v>64.114309451659452</v>
      </c>
      <c r="F65" s="3">
        <v>0.26525226211697372</v>
      </c>
      <c r="G65" s="3">
        <v>-0.53338075272990049</v>
      </c>
      <c r="H65" s="3">
        <v>-0.19687449751294339</v>
      </c>
      <c r="I65" s="3">
        <v>0.45737733340310349</v>
      </c>
      <c r="J65" s="3">
        <v>-0.49808222495962712</v>
      </c>
      <c r="K65" s="3">
        <v>-0.40122240056663039</v>
      </c>
      <c r="L65" s="3">
        <v>-0.66223378121400922</v>
      </c>
    </row>
    <row r="66" spans="1:12" x14ac:dyDescent="0.2">
      <c r="A66" s="2" t="s">
        <v>139</v>
      </c>
      <c r="B66" s="2" t="s">
        <v>140</v>
      </c>
      <c r="C66" s="3">
        <v>77.393002599138839</v>
      </c>
      <c r="D66" s="3">
        <v>80.72812724089637</v>
      </c>
      <c r="E66" s="3">
        <v>81.03786423266277</v>
      </c>
      <c r="F66" s="3">
        <v>0.30973699176639968</v>
      </c>
      <c r="G66" s="3">
        <v>0.7436208245056527</v>
      </c>
      <c r="H66" s="3">
        <v>0.74605508069737136</v>
      </c>
      <c r="I66" s="3">
        <v>-0.17085170376002959</v>
      </c>
      <c r="J66" s="3">
        <v>0.25819687884910342</v>
      </c>
      <c r="K66" s="3">
        <v>9.3030788599536104E-2</v>
      </c>
      <c r="L66" s="3">
        <v>-0.55904644211814902</v>
      </c>
    </row>
    <row r="67" spans="1:12" x14ac:dyDescent="0.2">
      <c r="A67" s="2" t="s">
        <v>141</v>
      </c>
      <c r="B67" s="2" t="s">
        <v>142</v>
      </c>
      <c r="C67" s="3">
        <v>85.203854344823327</v>
      </c>
      <c r="D67" s="3">
        <v>85.553876578813359</v>
      </c>
      <c r="E67" s="3">
        <v>85.74132986588576</v>
      </c>
      <c r="F67" s="3">
        <v>0.18745328707240111</v>
      </c>
      <c r="G67" s="3">
        <v>1.035297497390137</v>
      </c>
      <c r="H67" s="3">
        <v>1.4933276052604501</v>
      </c>
      <c r="I67" s="3">
        <v>2.0021128938029622</v>
      </c>
      <c r="J67" s="3">
        <v>1.1009419838224039</v>
      </c>
      <c r="K67" s="3">
        <v>2.2358169641429959</v>
      </c>
      <c r="L67" s="3">
        <v>-0.1006085974693465</v>
      </c>
    </row>
    <row r="68" spans="1:12" x14ac:dyDescent="0.2">
      <c r="A68" s="2" t="s">
        <v>143</v>
      </c>
      <c r="B68" s="2" t="s">
        <v>144</v>
      </c>
      <c r="C68" s="3">
        <v>78.178930714511182</v>
      </c>
      <c r="D68" s="3">
        <v>79.638514018620285</v>
      </c>
      <c r="E68" s="3">
        <v>79.155207456187625</v>
      </c>
      <c r="F68" s="3">
        <v>-0.48330656243265929</v>
      </c>
      <c r="G68" s="3">
        <v>1.3393425346642891</v>
      </c>
      <c r="H68" s="3">
        <v>1.62371870664088</v>
      </c>
      <c r="I68" s="3">
        <v>0.31227610809722789</v>
      </c>
      <c r="J68" s="3">
        <v>0.9600868015995645</v>
      </c>
      <c r="K68" s="3">
        <v>1.7643524326017199</v>
      </c>
      <c r="L68" s="3">
        <v>0.42507955646827839</v>
      </c>
    </row>
    <row r="69" spans="1:12" x14ac:dyDescent="0.2">
      <c r="A69" s="2" t="s">
        <v>145</v>
      </c>
      <c r="B69" s="2" t="s">
        <v>146</v>
      </c>
      <c r="C69" s="3">
        <v>64.555797451073232</v>
      </c>
      <c r="D69" s="3">
        <v>67.881436433531761</v>
      </c>
      <c r="E69" s="3">
        <v>68.269929993209402</v>
      </c>
      <c r="F69" s="3">
        <v>0.38849355967764149</v>
      </c>
      <c r="G69" s="3">
        <v>-2.3706045853209439</v>
      </c>
      <c r="H69" s="3">
        <v>-1.60727257152192</v>
      </c>
      <c r="I69" s="3">
        <v>-0.38757290733437427</v>
      </c>
      <c r="J69" s="3">
        <v>-1.334728979250372</v>
      </c>
      <c r="K69" s="3">
        <v>-1.0090781629120049</v>
      </c>
      <c r="L69" s="3">
        <v>9.2963841698601973E-2</v>
      </c>
    </row>
    <row r="70" spans="1:12" x14ac:dyDescent="0.2">
      <c r="A70" s="2" t="s">
        <v>147</v>
      </c>
      <c r="B70" s="2" t="s">
        <v>148</v>
      </c>
      <c r="C70" s="3">
        <v>70.469826709320103</v>
      </c>
      <c r="D70" s="3">
        <v>74.485278151260516</v>
      </c>
      <c r="E70" s="3">
        <v>75.34208613445378</v>
      </c>
      <c r="F70" s="3">
        <v>0.85680798319326357</v>
      </c>
      <c r="G70" s="3">
        <v>-0.30170629140549288</v>
      </c>
      <c r="H70" s="3">
        <v>-0.2454514806225411</v>
      </c>
      <c r="I70" s="3">
        <v>-0.57152900000322349</v>
      </c>
      <c r="J70" s="3">
        <v>-0.58071455443346387</v>
      </c>
      <c r="K70" s="3">
        <v>-0.56670732394839562</v>
      </c>
      <c r="L70" s="3">
        <v>0.61334744330647095</v>
      </c>
    </row>
    <row r="71" spans="1:12" x14ac:dyDescent="0.2">
      <c r="A71" s="2" t="s">
        <v>149</v>
      </c>
      <c r="B71" s="2" t="s">
        <v>150</v>
      </c>
      <c r="C71" s="3">
        <v>68.812370051064505</v>
      </c>
      <c r="D71" s="3">
        <v>72.550836038961052</v>
      </c>
      <c r="E71" s="3">
        <v>72.000996451914105</v>
      </c>
      <c r="F71" s="3">
        <v>-0.54983958704694658</v>
      </c>
      <c r="G71" s="3">
        <v>-0.70065386059418233</v>
      </c>
      <c r="H71" s="3">
        <v>-0.32912870083674611</v>
      </c>
      <c r="I71" s="3">
        <v>1.452816121195559</v>
      </c>
      <c r="J71" s="3">
        <v>-0.76402295564258382</v>
      </c>
      <c r="K71" s="3">
        <v>-0.4457166307087847</v>
      </c>
      <c r="L71" s="3">
        <v>6.9444802410161127E-2</v>
      </c>
    </row>
    <row r="72" spans="1:12" x14ac:dyDescent="0.2">
      <c r="A72" s="2" t="s">
        <v>151</v>
      </c>
      <c r="B72" s="2" t="s">
        <v>152</v>
      </c>
      <c r="C72" s="3">
        <v>71.653130063828215</v>
      </c>
      <c r="D72" s="3">
        <v>74.616302624458868</v>
      </c>
      <c r="E72" s="3">
        <v>75.744366609371014</v>
      </c>
      <c r="F72" s="3">
        <v>1.1280639849121461</v>
      </c>
      <c r="G72" s="3">
        <v>-0.35138424777997218</v>
      </c>
      <c r="H72" s="3">
        <v>-1.15873171426808</v>
      </c>
      <c r="I72" s="3">
        <v>0.79920144904519985</v>
      </c>
      <c r="J72" s="3">
        <v>0.26578448052512033</v>
      </c>
      <c r="K72" s="3">
        <v>-0.3691294127723212</v>
      </c>
      <c r="L72" s="3">
        <v>0.12712364799985779</v>
      </c>
    </row>
    <row r="73" spans="1:12" x14ac:dyDescent="0.2">
      <c r="A73" s="2" t="s">
        <v>153</v>
      </c>
      <c r="B73" s="2" t="s">
        <v>154</v>
      </c>
      <c r="C73" s="3">
        <v>79.023619057747069</v>
      </c>
      <c r="D73" s="3">
        <v>81.770087564722871</v>
      </c>
      <c r="E73" s="3">
        <v>81.854334551396335</v>
      </c>
      <c r="F73" s="3">
        <v>8.4246986673463198E-2</v>
      </c>
      <c r="G73" s="3">
        <v>0.86226409651782432</v>
      </c>
      <c r="H73" s="3">
        <v>1.227907963459981</v>
      </c>
      <c r="I73" s="3">
        <v>0.44510832112863608</v>
      </c>
      <c r="J73" s="3">
        <v>1.102267332585654</v>
      </c>
      <c r="K73" s="3">
        <v>0.83445562575151144</v>
      </c>
      <c r="L73" s="3">
        <v>-0.59081226062668746</v>
      </c>
    </row>
    <row r="74" spans="1:12" x14ac:dyDescent="0.2">
      <c r="A74" s="2" t="s">
        <v>155</v>
      </c>
      <c r="B74" s="2" t="s">
        <v>156</v>
      </c>
      <c r="C74" s="3">
        <v>73.151430352290319</v>
      </c>
      <c r="D74" s="3">
        <v>75.177822954006785</v>
      </c>
      <c r="E74" s="3">
        <v>75.191668542242056</v>
      </c>
      <c r="F74" s="3">
        <v>1.384558823527016E-2</v>
      </c>
      <c r="G74" s="3">
        <v>1.1402985107725849</v>
      </c>
      <c r="H74" s="3">
        <v>1.155307714732724</v>
      </c>
      <c r="I74" s="3">
        <v>0.39578991977484879</v>
      </c>
      <c r="J74" s="3">
        <v>1.755792250930718</v>
      </c>
      <c r="K74" s="3">
        <v>1.6603475679464561</v>
      </c>
      <c r="L74" s="3">
        <v>-1.140147043686446</v>
      </c>
    </row>
    <row r="75" spans="1:12" x14ac:dyDescent="0.2">
      <c r="A75" s="2" t="s">
        <v>157</v>
      </c>
      <c r="B75" s="2" t="s">
        <v>158</v>
      </c>
      <c r="C75" s="3">
        <v>73.02071866150041</v>
      </c>
      <c r="D75" s="3">
        <v>77.02047282064342</v>
      </c>
      <c r="E75" s="3">
        <v>77.400804959256419</v>
      </c>
      <c r="F75" s="3">
        <v>0.38033213861299942</v>
      </c>
      <c r="G75" s="3">
        <v>0.10394937916529801</v>
      </c>
      <c r="H75" s="3">
        <v>6.4805328226864148E-2</v>
      </c>
      <c r="I75" s="3">
        <v>-0.74506645832396723</v>
      </c>
      <c r="J75" s="3">
        <v>-0.76920697321783071</v>
      </c>
      <c r="K75" s="3">
        <v>-0.70609731218853622</v>
      </c>
      <c r="L75" s="3">
        <v>-0.70049447653335495</v>
      </c>
    </row>
    <row r="76" spans="1:12" x14ac:dyDescent="0.2">
      <c r="A76" s="2" t="s">
        <v>159</v>
      </c>
      <c r="B76" s="2" t="s">
        <v>160</v>
      </c>
      <c r="C76" s="3">
        <v>65.213563939619405</v>
      </c>
      <c r="D76" s="3">
        <v>71.997580481150791</v>
      </c>
      <c r="E76" s="3">
        <v>73.079578615991863</v>
      </c>
      <c r="F76" s="3">
        <v>1.0819981348410721</v>
      </c>
      <c r="G76" s="3">
        <v>-1.4307948818693119</v>
      </c>
      <c r="H76" s="3">
        <v>-1.408709370165697</v>
      </c>
      <c r="I76" s="3">
        <v>0.47696272912340171</v>
      </c>
      <c r="J76" s="3">
        <v>-0.55699520241953637</v>
      </c>
      <c r="K76" s="3">
        <v>-0.90480510278763249</v>
      </c>
      <c r="L76" s="3">
        <v>-0.6140983357805615</v>
      </c>
    </row>
    <row r="77" spans="1:12" x14ac:dyDescent="0.2">
      <c r="A77" s="2" t="s">
        <v>161</v>
      </c>
      <c r="B77" s="2" t="s">
        <v>162</v>
      </c>
      <c r="C77" s="3">
        <v>49.528428390233508</v>
      </c>
      <c r="D77" s="3">
        <v>53.59543839060246</v>
      </c>
      <c r="E77" s="3">
        <v>54.772347647483222</v>
      </c>
      <c r="F77" s="3">
        <v>1.176909256880762</v>
      </c>
      <c r="G77" s="3">
        <v>-2.1747096064877032</v>
      </c>
      <c r="H77" s="3">
        <v>-1.334067187975581</v>
      </c>
      <c r="I77" s="3">
        <v>-1.029826677458795</v>
      </c>
      <c r="J77" s="3">
        <v>-1.8473435664640381</v>
      </c>
      <c r="K77" s="3">
        <v>-1.035020784785875</v>
      </c>
      <c r="L77" s="3">
        <v>-0.37391578931059172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6070-7F09-EC49-82CB-BB34E46A59F0}">
  <sheetPr>
    <tabColor rgb="FF5B9BD5"/>
  </sheetPr>
  <dimension ref="A1:N174"/>
  <sheetViews>
    <sheetView tabSelected="1" zoomScale="142" workbookViewId="0">
      <pane ySplit="1" topLeftCell="A8" activePane="bottomLeft" state="frozen"/>
      <selection pane="bottomLeft" activeCell="E15" sqref="E15"/>
    </sheetView>
  </sheetViews>
  <sheetFormatPr baseColWidth="10" defaultRowHeight="15" x14ac:dyDescent="0.2"/>
  <cols>
    <col min="1" max="1" width="24.6640625" bestFit="1" customWidth="1"/>
    <col min="2" max="2" width="8.83203125" bestFit="1" customWidth="1"/>
    <col min="3" max="4" width="12.5" bestFit="1" customWidth="1"/>
    <col min="5" max="5" width="20" bestFit="1" customWidth="1"/>
    <col min="6" max="6" width="19" bestFit="1" customWidth="1"/>
    <col min="7" max="7" width="21" bestFit="1" customWidth="1"/>
    <col min="8" max="8" width="25" bestFit="1" customWidth="1"/>
    <col min="9" max="9" width="23.5" bestFit="1" customWidth="1"/>
    <col min="10" max="10" width="24.83203125" bestFit="1" customWidth="1"/>
    <col min="11" max="11" width="13.1640625" bestFit="1" customWidth="1"/>
    <col min="12" max="12" width="12.83203125" bestFit="1" customWidth="1"/>
    <col min="13" max="13" width="24.6640625" bestFit="1" customWidth="1"/>
    <col min="14" max="14" width="41.1640625" bestFit="1" customWidth="1"/>
  </cols>
  <sheetData>
    <row r="1" spans="1:14" ht="21" x14ac:dyDescent="0.25">
      <c r="A1" s="14" t="s">
        <v>206</v>
      </c>
      <c r="B1" s="15"/>
      <c r="C1" s="15"/>
      <c r="D1" s="15"/>
      <c r="E1" s="15"/>
      <c r="F1" s="15"/>
      <c r="G1" s="15"/>
      <c r="H1" s="15"/>
      <c r="I1" s="15"/>
      <c r="J1" s="15"/>
      <c r="K1" s="15"/>
      <c r="L1" s="15"/>
      <c r="M1" s="15"/>
      <c r="N1" s="15"/>
    </row>
    <row r="2" spans="1:14" x14ac:dyDescent="0.2">
      <c r="A2" s="10"/>
      <c r="B2" s="10"/>
      <c r="C2" s="10"/>
      <c r="D2" s="10"/>
      <c r="E2" s="10"/>
      <c r="F2" s="10"/>
      <c r="G2" s="10"/>
      <c r="H2" s="10"/>
      <c r="I2" s="10"/>
      <c r="J2" s="10"/>
      <c r="K2" s="10"/>
      <c r="L2" s="10"/>
      <c r="M2" s="10"/>
      <c r="N2" s="10"/>
    </row>
    <row r="3" spans="1:14" x14ac:dyDescent="0.2">
      <c r="A3" s="11" t="s">
        <v>207</v>
      </c>
      <c r="B3" s="11" t="s">
        <v>208</v>
      </c>
      <c r="C3" s="10"/>
      <c r="D3" s="10"/>
      <c r="E3" s="10"/>
      <c r="F3" s="10"/>
      <c r="G3" s="10"/>
      <c r="H3" s="10"/>
      <c r="I3" s="10"/>
      <c r="J3" s="10"/>
      <c r="K3" s="10"/>
      <c r="L3" s="10"/>
      <c r="M3" s="11" t="s">
        <v>231</v>
      </c>
      <c r="N3" s="11" t="s">
        <v>232</v>
      </c>
    </row>
    <row r="4" spans="1:14" x14ac:dyDescent="0.2">
      <c r="A4" s="10" t="s">
        <v>209</v>
      </c>
      <c r="B4" s="10">
        <f>COUNTA(Modelo_final_tipificado!A2:A77)</f>
        <v>76</v>
      </c>
      <c r="C4" s="10"/>
      <c r="D4" s="10"/>
      <c r="E4" s="10"/>
      <c r="F4" s="10"/>
      <c r="G4" s="10"/>
      <c r="H4" s="10"/>
      <c r="I4" s="10"/>
      <c r="J4" s="10"/>
      <c r="K4" s="10"/>
      <c r="L4" s="10"/>
      <c r="M4" s="10" t="s">
        <v>233</v>
      </c>
      <c r="N4" s="10" t="str">
        <f>B8&amp;" ("&amp;ROUND(MAX(Modelo_final_tipificado!E2:E77),3)&amp;")"</f>
        <v>Finland (87,022)</v>
      </c>
    </row>
    <row r="5" spans="1:14" x14ac:dyDescent="0.2">
      <c r="A5" s="10" t="s">
        <v>210</v>
      </c>
      <c r="B5" s="10">
        <v>10</v>
      </c>
      <c r="C5" s="10"/>
      <c r="D5" s="10"/>
      <c r="E5" s="10"/>
      <c r="F5" s="10"/>
      <c r="G5" s="10"/>
      <c r="H5" s="10"/>
      <c r="I5" s="10"/>
      <c r="J5" s="10"/>
      <c r="K5" s="10"/>
      <c r="L5" s="10"/>
      <c r="M5" s="10" t="s">
        <v>234</v>
      </c>
      <c r="N5" s="10" t="str">
        <f>INDEX(Modelo_final_tipificado!A2:A77,MATCH(MIN(Modelo_final_tipificado!E2:E77),Modelo_final_tipificado!E2:E77,0))&amp;" ("&amp;ROUND(MIN(Modelo_final_tipificado!E2:E77),3)&amp;")"</f>
        <v>Madagascar (51,049)</v>
      </c>
    </row>
    <row r="6" spans="1:14" x14ac:dyDescent="0.2">
      <c r="A6" s="10" t="s">
        <v>211</v>
      </c>
      <c r="B6" s="10">
        <f>COUNTBLANK(Modelo_final_tipificado!C2:L77)</f>
        <v>2</v>
      </c>
      <c r="C6" s="10"/>
      <c r="D6" s="10"/>
      <c r="E6" s="10"/>
      <c r="F6" s="10"/>
      <c r="G6" s="10"/>
      <c r="H6" s="10"/>
      <c r="I6" s="10"/>
      <c r="J6" s="10"/>
      <c r="K6" s="10"/>
      <c r="L6" s="10"/>
      <c r="M6" s="10" t="s">
        <v>235</v>
      </c>
      <c r="N6" s="10" t="str">
        <f>B9&amp;" ("&amp;ROUND(MAX(Modelo_final_tipificado!F2:F77),3)&amp;")"</f>
        <v>Singapore (2,741)</v>
      </c>
    </row>
    <row r="7" spans="1:14" x14ac:dyDescent="0.2">
      <c r="A7" s="10" t="s">
        <v>212</v>
      </c>
      <c r="B7" s="12">
        <f>AVERAGE(Modelo_final_tipificado!E2:E77)</f>
        <v>75.073932730257681</v>
      </c>
      <c r="C7" s="10"/>
      <c r="D7" s="10"/>
      <c r="E7" s="10"/>
      <c r="F7" s="10"/>
      <c r="G7" s="10"/>
      <c r="H7" s="10"/>
      <c r="I7" s="10"/>
      <c r="J7" s="10"/>
      <c r="K7" s="10"/>
      <c r="L7" s="10"/>
      <c r="M7" s="10" t="s">
        <v>236</v>
      </c>
      <c r="N7" s="10" t="str">
        <f>INDEX(Modelo_final_tipificado!A2:A77,MATCH(MIN(Modelo_final_tipificado!F2:F77),Modelo_final_tipificado!F2:F77,0))&amp;" ("&amp;ROUND(MIN(Modelo_final_tipificado!F2:F77),3)&amp;")"</f>
        <v>Hungary (-1,412)</v>
      </c>
    </row>
    <row r="8" spans="1:14" x14ac:dyDescent="0.2">
      <c r="A8" s="10" t="s">
        <v>213</v>
      </c>
      <c r="B8" s="10" t="str">
        <f>INDEX(Modelo_final_tipificado!A2:A77,MATCH(MAX(Modelo_final_tipificado!E2:E77),Modelo_final_tipificado!E2:E77,0))</f>
        <v>Finland</v>
      </c>
      <c r="C8" s="10"/>
      <c r="D8" s="10"/>
      <c r="E8" s="10"/>
      <c r="F8" s="10"/>
      <c r="G8" s="10"/>
      <c r="H8" s="10"/>
      <c r="I8" s="10"/>
      <c r="J8" s="10"/>
      <c r="K8" s="10"/>
      <c r="L8" s="10"/>
      <c r="M8" s="10" t="s">
        <v>237</v>
      </c>
      <c r="N8" s="10" t="s">
        <v>238</v>
      </c>
    </row>
    <row r="9" spans="1:14" x14ac:dyDescent="0.2">
      <c r="A9" s="10" t="s">
        <v>214</v>
      </c>
      <c r="B9" s="10" t="str">
        <f>INDEX(Modelo_final_tipificado!A2:A77,MATCH(MAX(Modelo_final_tipificado!F2:F77),Modelo_final_tipificado!F2:F77,0))</f>
        <v>Singapore</v>
      </c>
      <c r="C9" s="10"/>
      <c r="D9" s="10"/>
      <c r="E9" s="10"/>
      <c r="F9" s="10"/>
      <c r="G9" s="10"/>
      <c r="H9" s="10"/>
      <c r="I9" s="10"/>
      <c r="J9" s="10"/>
      <c r="K9" s="10"/>
      <c r="L9" s="10"/>
      <c r="M9" s="10"/>
      <c r="N9" s="10"/>
    </row>
    <row r="10" spans="1:14" x14ac:dyDescent="0.2">
      <c r="A10" s="10"/>
      <c r="B10" s="10"/>
      <c r="C10" s="10"/>
      <c r="D10" s="10"/>
      <c r="E10" s="10"/>
      <c r="F10" s="10"/>
      <c r="G10" s="10"/>
      <c r="H10" s="10"/>
      <c r="I10" s="10"/>
      <c r="J10" s="10"/>
      <c r="K10" s="10"/>
      <c r="L10" s="10"/>
      <c r="M10" s="10"/>
      <c r="N10" s="10"/>
    </row>
    <row r="11" spans="1:14" x14ac:dyDescent="0.2">
      <c r="A11" s="11" t="s">
        <v>215</v>
      </c>
      <c r="B11" s="11" t="s">
        <v>216</v>
      </c>
      <c r="C11" s="11" t="s">
        <v>217</v>
      </c>
      <c r="D11" s="11" t="s">
        <v>218</v>
      </c>
      <c r="E11" s="11" t="s">
        <v>219</v>
      </c>
      <c r="F11" s="11" t="s">
        <v>220</v>
      </c>
      <c r="G11" s="11" t="s">
        <v>221</v>
      </c>
      <c r="H11" s="11" t="s">
        <v>222</v>
      </c>
      <c r="I11" s="11" t="s">
        <v>223</v>
      </c>
      <c r="J11" s="11" t="s">
        <v>224</v>
      </c>
      <c r="K11" s="10"/>
      <c r="L11" s="10"/>
      <c r="M11" s="10"/>
      <c r="N11" s="10"/>
    </row>
    <row r="12" spans="1:14" x14ac:dyDescent="0.2">
      <c r="A12" s="10" t="s">
        <v>10</v>
      </c>
      <c r="B12" s="13">
        <f>COUNT(Modelo_final_tipificado!C2:C77)</f>
        <v>76</v>
      </c>
      <c r="C12" s="13">
        <f>COUNTBLANK(Modelo_final_tipificado!C2:C77)</f>
        <v>0</v>
      </c>
      <c r="D12" s="12">
        <f>AVERAGE(Modelo_final_tipificado!C2:C77)</f>
        <v>71.352273471495394</v>
      </c>
      <c r="E12" s="12">
        <f>MEDIAN(Modelo_final_tipificado!C2:C77)</f>
        <v>73.00959267044972</v>
      </c>
      <c r="F12" s="12">
        <f>_xlfn.STDEV.S(Modelo_final_tipificado!C2:C77)</f>
        <v>7.9569011136234895</v>
      </c>
      <c r="G12" s="12">
        <f>MIN(Modelo_final_tipificado!C2:C77)</f>
        <v>48.080864294039287</v>
      </c>
      <c r="H12" s="12">
        <f>_xlfn.QUARTILE.INC(Modelo_final_tipificado!C2:C77,1)</f>
        <v>66.713380906951414</v>
      </c>
      <c r="I12" s="12">
        <f>_xlfn.QUARTILE.INC(Modelo_final_tipificado!C2:C77,3)</f>
        <v>77.379025059900002</v>
      </c>
      <c r="J12" s="12">
        <f>MAX(Modelo_final_tipificado!C2:C77)</f>
        <v>85.203854344823327</v>
      </c>
      <c r="K12" s="10"/>
      <c r="L12" s="10"/>
      <c r="M12" s="10"/>
      <c r="N12" s="10"/>
    </row>
    <row r="13" spans="1:14" x14ac:dyDescent="0.2">
      <c r="A13" s="10" t="s">
        <v>164</v>
      </c>
      <c r="B13" s="13">
        <f>COUNT(Modelo_final_tipificado!D2:D77)</f>
        <v>76</v>
      </c>
      <c r="C13" s="13">
        <f>COUNTBLANK(Modelo_final_tipificado!D2:D77)</f>
        <v>0</v>
      </c>
      <c r="D13" s="12">
        <f>AVERAGE(Modelo_final_tipificado!D2:D77)</f>
        <v>74.709739562353548</v>
      </c>
      <c r="E13" s="12">
        <f>MEDIAN(Modelo_final_tipificado!D2:D77)</f>
        <v>75.565778598852134</v>
      </c>
      <c r="F13" s="12">
        <f>_xlfn.STDEV.S(Modelo_final_tipificado!D2:D77)</f>
        <v>7.3460838588457236</v>
      </c>
      <c r="G13" s="12">
        <f>MIN(Modelo_final_tipificado!D2:D77)</f>
        <v>51.212910838181443</v>
      </c>
      <c r="H13" s="12">
        <f>_xlfn.QUARTILE.INC(Modelo_final_tipificado!D2:D77,1)</f>
        <v>70.907910510766797</v>
      </c>
      <c r="I13" s="12">
        <f>_xlfn.QUARTILE.INC(Modelo_final_tipificado!D2:D77,3)</f>
        <v>80.307471365440122</v>
      </c>
      <c r="J13" s="12">
        <f>MAX(Modelo_final_tipificado!D2:D77)</f>
        <v>86.762526130405547</v>
      </c>
      <c r="K13" s="10"/>
      <c r="L13" s="10"/>
      <c r="M13" s="10"/>
      <c r="N13" s="10"/>
    </row>
    <row r="14" spans="1:14" x14ac:dyDescent="0.2">
      <c r="A14" s="10" t="s">
        <v>165</v>
      </c>
      <c r="B14" s="13">
        <f>COUNT(Modelo_final_tipificado!E2:E77)</f>
        <v>76</v>
      </c>
      <c r="C14" s="13">
        <f>COUNTBLANK(Modelo_final_tipificado!E2:E77)</f>
        <v>0</v>
      </c>
      <c r="D14" s="12">
        <f>AVERAGE(Modelo_final_tipificado!E2:E77)</f>
        <v>75.073932730257681</v>
      </c>
      <c r="E14" s="12">
        <f>MEDIAN(Modelo_final_tipificado!E2:E77)</f>
        <v>76.02350960020371</v>
      </c>
      <c r="F14" s="12">
        <f>_xlfn.STDEV.S(Modelo_final_tipificado!E2:E77)</f>
        <v>7.1530069251227868</v>
      </c>
      <c r="G14" s="12">
        <f>MIN(Modelo_final_tipificado!E2:E77)</f>
        <v>51.048877847805777</v>
      </c>
      <c r="H14" s="12">
        <f>_xlfn.QUARTILE.INC(Modelo_final_tipificado!E2:E77,1)</f>
        <v>71.537174484471834</v>
      </c>
      <c r="I14" s="12">
        <f>_xlfn.QUARTILE.INC(Modelo_final_tipificado!E2:E77,3)</f>
        <v>80.645982208885897</v>
      </c>
      <c r="J14" s="12">
        <f>MAX(Modelo_final_tipificado!E2:E77)</f>
        <v>87.022461629710165</v>
      </c>
      <c r="K14" s="10"/>
      <c r="L14" s="10"/>
      <c r="M14" s="10"/>
      <c r="N14" s="10"/>
    </row>
    <row r="15" spans="1:14" x14ac:dyDescent="0.2">
      <c r="A15" s="10" t="s">
        <v>166</v>
      </c>
      <c r="B15" s="13">
        <f>COUNT(Modelo_final_tipificado!F2:F77)</f>
        <v>76</v>
      </c>
      <c r="C15" s="13">
        <f>COUNTBLANK(Modelo_final_tipificado!F2:F77)</f>
        <v>0</v>
      </c>
      <c r="D15" s="12">
        <f>AVERAGE(Modelo_final_tipificado!F2:F77)</f>
        <v>0.36419316790415779</v>
      </c>
      <c r="E15" s="12">
        <f>MEDIAN(Modelo_final_tipificado!F2:F77)</f>
        <v>0.34362647403658997</v>
      </c>
      <c r="F15" s="12">
        <f>_xlfn.STDEV.S(Modelo_final_tipificado!F2:F77)</f>
        <v>0.64127274633974085</v>
      </c>
      <c r="G15" s="12">
        <f>MIN(Modelo_final_tipificado!F2:F77)</f>
        <v>-1.411573160071143</v>
      </c>
      <c r="H15" s="12">
        <f>_xlfn.QUARTILE.INC(Modelo_final_tipificado!F2:F77,1)</f>
        <v>0.10922522706052365</v>
      </c>
      <c r="I15" s="12">
        <f>_xlfn.QUARTILE.INC(Modelo_final_tipificado!F2:F77,3)</f>
        <v>0.62513363944062661</v>
      </c>
      <c r="J15" s="12">
        <f>MAX(Modelo_final_tipificado!F2:F77)</f>
        <v>2.7411903513071958</v>
      </c>
      <c r="K15" s="10"/>
      <c r="L15" s="10"/>
      <c r="M15" s="10"/>
      <c r="N15" s="10"/>
    </row>
    <row r="16" spans="1:14" x14ac:dyDescent="0.2">
      <c r="A16" s="10" t="s">
        <v>184</v>
      </c>
      <c r="B16" s="13">
        <f>COUNT(Modelo_final_tipificado!G2:G77)</f>
        <v>76</v>
      </c>
      <c r="C16" s="13">
        <f>COUNTBLANK(Modelo_final_tipificado!G2:G77)</f>
        <v>0</v>
      </c>
      <c r="D16" s="12">
        <f>AVERAGE(Modelo_final_tipificado!G2:G77)</f>
        <v>6.1354430308232334E-16</v>
      </c>
      <c r="E16" s="12">
        <f>MEDIAN(Modelo_final_tipificado!G2:G77)</f>
        <v>0.17007830225160397</v>
      </c>
      <c r="F16" s="12">
        <f>_xlfn.STDEV.S(Modelo_final_tipificado!G2:G77)</f>
        <v>1.0066445913694333</v>
      </c>
      <c r="G16" s="12">
        <f>MIN(Modelo_final_tipificado!G2:G77)</f>
        <v>-2.8671946598752802</v>
      </c>
      <c r="H16" s="12">
        <f>_xlfn.QUARTILE.INC(Modelo_final_tipificado!G2:G77,1)</f>
        <v>-0.63687566933733641</v>
      </c>
      <c r="I16" s="12">
        <f>_xlfn.QUARTILE.INC(Modelo_final_tipificado!G2:G77,3)</f>
        <v>0.71784502930489147</v>
      </c>
      <c r="J16" s="12">
        <f>MAX(Modelo_final_tipificado!G2:G77)</f>
        <v>1.9516582814206</v>
      </c>
      <c r="K16" s="10"/>
      <c r="L16" s="10"/>
      <c r="M16" s="10"/>
      <c r="N16" s="10"/>
    </row>
    <row r="17" spans="1:14" x14ac:dyDescent="0.2">
      <c r="A17" s="10" t="s">
        <v>185</v>
      </c>
      <c r="B17" s="13">
        <f>COUNT(Modelo_final_tipificado!H2:H77)</f>
        <v>76</v>
      </c>
      <c r="C17" s="13">
        <f>COUNTBLANK(Modelo_final_tipificado!H2:H77)</f>
        <v>0</v>
      </c>
      <c r="D17" s="12">
        <f>AVERAGE(Modelo_final_tipificado!H2:H77)</f>
        <v>2.6294755846385285E-17</v>
      </c>
      <c r="E17" s="12">
        <f>MEDIAN(Modelo_final_tipificado!H2:H77)</f>
        <v>-9.4126969463752055E-2</v>
      </c>
      <c r="F17" s="12">
        <f>_xlfn.STDEV.S(Modelo_final_tipificado!H2:H77)</f>
        <v>1.0066445913694335</v>
      </c>
      <c r="G17" s="12">
        <f>MIN(Modelo_final_tipificado!H2:H77)</f>
        <v>-1.60727257152192</v>
      </c>
      <c r="H17" s="12">
        <f>_xlfn.QUARTILE.INC(Modelo_final_tipificado!H2:H77,1)</f>
        <v>-0.91199634375926475</v>
      </c>
      <c r="I17" s="12">
        <f>_xlfn.QUARTILE.INC(Modelo_final_tipificado!H2:H77,3)</f>
        <v>0.78709042180879041</v>
      </c>
      <c r="J17" s="12">
        <f>MAX(Modelo_final_tipificado!H2:H77)</f>
        <v>1.87502244215713</v>
      </c>
      <c r="K17" s="10"/>
      <c r="L17" s="10"/>
      <c r="M17" s="10"/>
      <c r="N17" s="10"/>
    </row>
    <row r="18" spans="1:14" x14ac:dyDescent="0.2">
      <c r="A18" s="10" t="s">
        <v>186</v>
      </c>
      <c r="B18" s="13">
        <f>COUNT(Modelo_final_tipificado!I2:I77)</f>
        <v>75</v>
      </c>
      <c r="C18" s="13">
        <f>COUNTBLANK(Modelo_final_tipificado!I2:I77)</f>
        <v>1</v>
      </c>
      <c r="D18" s="12">
        <f>AVERAGE(Modelo_final_tipificado!I2:I77)</f>
        <v>8.8817841970012528E-17</v>
      </c>
      <c r="E18" s="12">
        <f>MEDIAN(Modelo_final_tipificado!I2:I77)</f>
        <v>-3.9812040218825699E-3</v>
      </c>
      <c r="F18" s="12">
        <f>_xlfn.STDEV.S(Modelo_final_tipificado!I2:I77)</f>
        <v>1.0067340828210367</v>
      </c>
      <c r="G18" s="12">
        <f>MIN(Modelo_final_tipificado!I2:I77)</f>
        <v>-2.075549102389536</v>
      </c>
      <c r="H18" s="12">
        <f>_xlfn.QUARTILE.INC(Modelo_final_tipificado!I2:I77,1)</f>
        <v>-0.73979433631023406</v>
      </c>
      <c r="I18" s="12">
        <f>_xlfn.QUARTILE.INC(Modelo_final_tipificado!I2:I77,3)</f>
        <v>0.60070057991113224</v>
      </c>
      <c r="J18" s="12">
        <f>MAX(Modelo_final_tipificado!I2:I77)</f>
        <v>2.6154214993156768</v>
      </c>
      <c r="K18" s="10"/>
      <c r="L18" s="10"/>
      <c r="M18" s="10"/>
      <c r="N18" s="10"/>
    </row>
    <row r="19" spans="1:14" x14ac:dyDescent="0.2">
      <c r="A19" s="10" t="s">
        <v>187</v>
      </c>
      <c r="B19" s="13">
        <f>COUNT(Modelo_final_tipificado!J2:J77)</f>
        <v>76</v>
      </c>
      <c r="C19" s="13">
        <f>COUNTBLANK(Modelo_final_tipificado!J2:J77)</f>
        <v>0</v>
      </c>
      <c r="D19" s="12">
        <f>AVERAGE(Modelo_final_tipificado!J2:J77)</f>
        <v>-7.3040988462181357E-17</v>
      </c>
      <c r="E19" s="12">
        <f>MEDIAN(Modelo_final_tipificado!J2:J77)</f>
        <v>6.7757819686848159E-2</v>
      </c>
      <c r="F19" s="12">
        <f>_xlfn.STDEV.S(Modelo_final_tipificado!J2:J77)</f>
        <v>1.0066445913694331</v>
      </c>
      <c r="G19" s="12">
        <f>MIN(Modelo_final_tipificado!J2:J77)</f>
        <v>-2.007732134086464</v>
      </c>
      <c r="H19" s="12">
        <f>_xlfn.QUARTILE.INC(Modelo_final_tipificado!J2:J77,1)</f>
        <v>-0.65014789844582377</v>
      </c>
      <c r="I19" s="12">
        <f>_xlfn.QUARTILE.INC(Modelo_final_tipificado!J2:J77,3)</f>
        <v>0.79355573882632791</v>
      </c>
      <c r="J19" s="12">
        <f>MAX(Modelo_final_tipificado!J2:J77)</f>
        <v>2.4862187346249338</v>
      </c>
      <c r="K19" s="10"/>
      <c r="L19" s="10"/>
      <c r="M19" s="10"/>
      <c r="N19" s="10"/>
    </row>
    <row r="20" spans="1:14" x14ac:dyDescent="0.2">
      <c r="A20" s="10" t="s">
        <v>188</v>
      </c>
      <c r="B20" s="13">
        <f>COUNT(Modelo_final_tipificado!K2:K77)</f>
        <v>75</v>
      </c>
      <c r="C20" s="13">
        <f>COUNTBLANK(Modelo_final_tipificado!K2:K77)</f>
        <v>1</v>
      </c>
      <c r="D20" s="12">
        <f>AVERAGE(Modelo_final_tipificado!K2:K77)</f>
        <v>-1.4802973661668753E-16</v>
      </c>
      <c r="E20" s="12">
        <f>MEDIAN(Modelo_final_tipificado!K2:K77)</f>
        <v>-0.40122240056663039</v>
      </c>
      <c r="F20" s="12">
        <f>_xlfn.STDEV.S(Modelo_final_tipificado!K2:K77)</f>
        <v>1.0067340828210365</v>
      </c>
      <c r="G20" s="12">
        <f>MIN(Modelo_final_tipificado!K2:K77)</f>
        <v>-1.0600079516576471</v>
      </c>
      <c r="H20" s="12">
        <f>_xlfn.QUARTILE.INC(Modelo_final_tipificado!K2:K77,1)</f>
        <v>-0.75271510123295637</v>
      </c>
      <c r="I20" s="12">
        <f>_xlfn.QUARTILE.INC(Modelo_final_tipificado!K2:K77,3)</f>
        <v>0.61021084738470366</v>
      </c>
      <c r="J20" s="12">
        <f>MAX(Modelo_final_tipificado!K2:K77)</f>
        <v>3.2199064813890979</v>
      </c>
      <c r="K20" s="10"/>
      <c r="L20" s="10"/>
      <c r="M20" s="10"/>
      <c r="N20" s="10"/>
    </row>
    <row r="21" spans="1:14" x14ac:dyDescent="0.2">
      <c r="A21" s="10" t="s">
        <v>189</v>
      </c>
      <c r="B21" s="13">
        <f>COUNT(Modelo_final_tipificado!L2:L77)</f>
        <v>76</v>
      </c>
      <c r="C21" s="13">
        <f>COUNTBLANK(Modelo_final_tipificado!L2:L77)</f>
        <v>0</v>
      </c>
      <c r="D21" s="12">
        <f>AVERAGE(Modelo_final_tipificado!L2:L77)</f>
        <v>1.3074336934730461E-16</v>
      </c>
      <c r="E21" s="12">
        <f>MEDIAN(Modelo_final_tipificado!L2:L77)</f>
        <v>-0.26790374163119712</v>
      </c>
      <c r="F21" s="12">
        <f>_xlfn.STDEV.S(Modelo_final_tipificado!L2:L77)</f>
        <v>1.0066445913694335</v>
      </c>
      <c r="G21" s="12">
        <f>MIN(Modelo_final_tipificado!L2:L77)</f>
        <v>-1.140147043686446</v>
      </c>
      <c r="H21" s="12">
        <f>_xlfn.QUARTILE.INC(Modelo_final_tipificado!L2:L77,1)</f>
        <v>-0.60480330880551636</v>
      </c>
      <c r="I21" s="12">
        <f>_xlfn.QUARTILE.INC(Modelo_final_tipificado!L2:L77,3)</f>
        <v>0.36407665852930049</v>
      </c>
      <c r="J21" s="12">
        <f>MAX(Modelo_final_tipificado!L2:L77)</f>
        <v>4.8796012363868178</v>
      </c>
      <c r="K21" s="10"/>
      <c r="L21" s="10"/>
      <c r="M21" s="10"/>
      <c r="N21" s="10"/>
    </row>
    <row r="22" spans="1:14" x14ac:dyDescent="0.2">
      <c r="A22" s="10"/>
      <c r="B22" s="10"/>
      <c r="C22" s="10"/>
      <c r="D22" s="10"/>
      <c r="E22" s="10"/>
      <c r="F22" s="10"/>
      <c r="G22" s="10"/>
      <c r="H22" s="10"/>
      <c r="I22" s="10"/>
      <c r="J22" s="10"/>
      <c r="K22" s="10"/>
      <c r="L22" s="10"/>
      <c r="M22" s="10"/>
      <c r="N22" s="10"/>
    </row>
    <row r="23" spans="1:14" x14ac:dyDescent="0.2">
      <c r="A23" s="10"/>
      <c r="B23" s="10"/>
      <c r="C23" s="10"/>
      <c r="D23" s="10"/>
      <c r="E23" s="10"/>
      <c r="F23" s="10"/>
      <c r="G23" s="10"/>
      <c r="H23" s="10"/>
      <c r="I23" s="10"/>
      <c r="J23" s="10"/>
      <c r="K23" s="10"/>
      <c r="L23" s="10"/>
      <c r="M23" s="10"/>
      <c r="N23" s="10"/>
    </row>
    <row r="24" spans="1:14" x14ac:dyDescent="0.2">
      <c r="A24" s="11" t="s">
        <v>225</v>
      </c>
      <c r="B24" s="11" t="s">
        <v>226</v>
      </c>
      <c r="C24" s="11" t="s">
        <v>208</v>
      </c>
      <c r="D24" s="10"/>
      <c r="E24" s="11" t="s">
        <v>227</v>
      </c>
      <c r="F24" s="11" t="s">
        <v>226</v>
      </c>
      <c r="G24" s="11" t="s">
        <v>208</v>
      </c>
      <c r="H24" s="10"/>
      <c r="I24" s="11" t="s">
        <v>228</v>
      </c>
      <c r="J24" s="11" t="s">
        <v>226</v>
      </c>
      <c r="K24" s="11" t="s">
        <v>229</v>
      </c>
      <c r="L24" s="10"/>
      <c r="M24" s="10"/>
      <c r="N24" s="10"/>
    </row>
    <row r="25" spans="1:14" x14ac:dyDescent="0.2">
      <c r="A25" s="10" t="str">
        <f>INDEX(Modelo_final_tipificado!$A$2:$A$77,MATCH(LARGE(Modelo_final_tipificado!$E$2:$E$77,1),Modelo_final_tipificado!$E$2:$E$77,0))</f>
        <v>Finland</v>
      </c>
      <c r="B25" s="10" t="str">
        <f>INDEX(Modelo_final_tipificado!$B$2:$B$77,MATCH(LARGE(Modelo_final_tipificado!$E$2:$E$77,1),Modelo_final_tipificado!$E$2:$E$77,0))</f>
        <v>FIN</v>
      </c>
      <c r="C25" s="12">
        <f>LARGE(Modelo_final_tipificado!$E$2:$E$77,1)</f>
        <v>87.022461629710165</v>
      </c>
      <c r="D25" s="10"/>
      <c r="E25" s="10" t="str">
        <f>INDEX(Modelo_final_tipificado!$A$2:$A$77,MATCH(SMALL(Modelo_final_tipificado!$E$2:$E$77,1),Modelo_final_tipificado!$E$2:$E$77,0))</f>
        <v>Madagascar</v>
      </c>
      <c r="F25" s="10" t="str">
        <f>INDEX(Modelo_final_tipificado!$B$2:$B$77,MATCH(SMALL(Modelo_final_tipificado!$E$2:$E$77,1),Modelo_final_tipificado!$E$2:$E$77,0))</f>
        <v>MDG</v>
      </c>
      <c r="G25" s="12">
        <f>SMALL(Modelo_final_tipificado!$E$2:$E$77,1)</f>
        <v>51.048877847805777</v>
      </c>
      <c r="H25" s="10"/>
      <c r="I25" s="10" t="str">
        <f>INDEX(Modelo_final_tipificado!$A$2:$A$77,MATCH(LARGE(Modelo_final_tipificado!$F$2:$F$77,1),Modelo_final_tipificado!$F$2:$F$77,0))</f>
        <v>Singapore</v>
      </c>
      <c r="J25" s="10" t="str">
        <f>INDEX(Modelo_final_tipificado!$B$2:$B$77,MATCH(LARGE(Modelo_final_tipificado!$F$2:$F$77,1),Modelo_final_tipificado!$F$2:$F$77,0))</f>
        <v>SGP</v>
      </c>
      <c r="K25" s="12">
        <f>LARGE(Modelo_final_tipificado!$F$2:$F$77,1)</f>
        <v>2.7411903513071958</v>
      </c>
      <c r="L25" s="10"/>
      <c r="M25" s="10"/>
      <c r="N25" s="10"/>
    </row>
    <row r="26" spans="1:14" x14ac:dyDescent="0.2">
      <c r="A26" s="10" t="str">
        <f>INDEX(Modelo_final_tipificado!$A$2:$A$77,MATCH(LARGE(Modelo_final_tipificado!$E$2:$E$77,2),Modelo_final_tipificado!$E$2:$E$77,0))</f>
        <v>Sweden</v>
      </c>
      <c r="B26" s="10" t="str">
        <f>INDEX(Modelo_final_tipificado!$B$2:$B$77,MATCH(LARGE(Modelo_final_tipificado!$E$2:$E$77,2),Modelo_final_tipificado!$E$2:$E$77,0))</f>
        <v>SWE</v>
      </c>
      <c r="C26" s="12">
        <f>LARGE(Modelo_final_tipificado!$E$2:$E$77,2)</f>
        <v>85.74132986588576</v>
      </c>
      <c r="D26" s="10"/>
      <c r="E26" s="10" t="str">
        <f>INDEX(Modelo_final_tipificado!$A$2:$A$77,MATCH(SMALL(Modelo_final_tipificado!$E$2:$E$77,2),Modelo_final_tipificado!$E$2:$E$77,0))</f>
        <v>Zambia</v>
      </c>
      <c r="F26" s="10" t="str">
        <f>INDEX(Modelo_final_tipificado!$B$2:$B$77,MATCH(SMALL(Modelo_final_tipificado!$E$2:$E$77,2),Modelo_final_tipificado!$E$2:$E$77,0))</f>
        <v>ZMB</v>
      </c>
      <c r="G26" s="12">
        <f>SMALL(Modelo_final_tipificado!$E$2:$E$77,2)</f>
        <v>54.772347647483222</v>
      </c>
      <c r="H26" s="10"/>
      <c r="I26" s="10" t="str">
        <f>INDEX(Modelo_final_tipificado!$A$2:$A$77,MATCH(LARGE(Modelo_final_tipificado!$F$2:$F$77,2),Modelo_final_tipificado!$F$2:$F$77,0))</f>
        <v>Philippines</v>
      </c>
      <c r="J26" s="10" t="str">
        <f>INDEX(Modelo_final_tipificado!$B$2:$B$77,MATCH(LARGE(Modelo_final_tipificado!$F$2:$F$77,2),Modelo_final_tipificado!$F$2:$F$77,0))</f>
        <v>PHL</v>
      </c>
      <c r="K26" s="12">
        <f>LARGE(Modelo_final_tipificado!$F$2:$F$77,2)</f>
        <v>1.60907717086836</v>
      </c>
      <c r="L26" s="10"/>
      <c r="M26" s="10"/>
      <c r="N26" s="10"/>
    </row>
    <row r="27" spans="1:14" x14ac:dyDescent="0.2">
      <c r="A27" s="10" t="str">
        <f>INDEX(Modelo_final_tipificado!$A$2:$A$77,MATCH(LARGE(Modelo_final_tipificado!$E$2:$E$77,3),Modelo_final_tipificado!$E$2:$E$77,0))</f>
        <v>Denmark</v>
      </c>
      <c r="B27" s="10" t="str">
        <f>INDEX(Modelo_final_tipificado!$B$2:$B$77,MATCH(LARGE(Modelo_final_tipificado!$E$2:$E$77,3),Modelo_final_tipificado!$E$2:$E$77,0))</f>
        <v>DNK</v>
      </c>
      <c r="C27" s="12">
        <f>LARGE(Modelo_final_tipificado!$E$2:$E$77,3)</f>
        <v>85.256608318478911</v>
      </c>
      <c r="D27" s="10"/>
      <c r="E27" s="10" t="str">
        <f>INDEX(Modelo_final_tipificado!$A$2:$A$77,MATCH(SMALL(Modelo_final_tipificado!$E$2:$E$77,3),Modelo_final_tipificado!$E$2:$E$77,0))</f>
        <v>Pakistan</v>
      </c>
      <c r="F27" s="10" t="str">
        <f>INDEX(Modelo_final_tipificado!$B$2:$B$77,MATCH(SMALL(Modelo_final_tipificado!$E$2:$E$77,3),Modelo_final_tipificado!$E$2:$E$77,0))</f>
        <v>PAK</v>
      </c>
      <c r="G27" s="12">
        <f>SMALL(Modelo_final_tipificado!$E$2:$E$77,3)</f>
        <v>56.966132850646083</v>
      </c>
      <c r="H27" s="10"/>
      <c r="I27" s="10" t="str">
        <f>INDEX(Modelo_final_tipificado!$A$2:$A$77,MATCH(LARGE(Modelo_final_tipificado!$F$2:$F$77,3),Modelo_final_tipificado!$F$2:$F$77,0))</f>
        <v>Malta</v>
      </c>
      <c r="J27" s="10" t="str">
        <f>INDEX(Modelo_final_tipificado!$B$2:$B$77,MATCH(LARGE(Modelo_final_tipificado!$F$2:$F$77,3),Modelo_final_tipificado!$F$2:$F$77,0))</f>
        <v>MLT</v>
      </c>
      <c r="K27" s="12">
        <f>LARGE(Modelo_final_tipificado!$F$2:$F$77,3)</f>
        <v>1.352227124183031</v>
      </c>
      <c r="L27" s="10"/>
      <c r="M27" s="10"/>
      <c r="N27" s="10"/>
    </row>
    <row r="28" spans="1:14" x14ac:dyDescent="0.2">
      <c r="A28" s="10" t="str">
        <f>INDEX(Modelo_final_tipificado!$A$2:$A$77,MATCH(LARGE(Modelo_final_tipificado!$E$2:$E$77,4),Modelo_final_tipificado!$E$2:$E$77,0))</f>
        <v>Germany</v>
      </c>
      <c r="B28" s="10" t="str">
        <f>INDEX(Modelo_final_tipificado!$B$2:$B$77,MATCH(LARGE(Modelo_final_tipificado!$E$2:$E$77,4),Modelo_final_tipificado!$E$2:$E$77,0))</f>
        <v>DEU</v>
      </c>
      <c r="C28" s="12">
        <f>LARGE(Modelo_final_tipificado!$E$2:$E$77,4)</f>
        <v>83.669599840845422</v>
      </c>
      <c r="D28" s="10"/>
      <c r="E28" s="10" t="str">
        <f>INDEX(Modelo_final_tipificado!$A$2:$A$77,MATCH(SMALL(Modelo_final_tipificado!$E$2:$E$77,4),Modelo_final_tipificado!$E$2:$E$77,0))</f>
        <v>Guatemala</v>
      </c>
      <c r="F28" s="10" t="str">
        <f>INDEX(Modelo_final_tipificado!$B$2:$B$77,MATCH(SMALL(Modelo_final_tipificado!$E$2:$E$77,4),Modelo_final_tipificado!$E$2:$E$77,0))</f>
        <v>GTM</v>
      </c>
      <c r="G28" s="12">
        <f>SMALL(Modelo_final_tipificado!$E$2:$E$77,4)</f>
        <v>59.863792343604118</v>
      </c>
      <c r="H28" s="10"/>
      <c r="I28" s="10" t="str">
        <f>INDEX(Modelo_final_tipificado!$A$2:$A$77,MATCH(LARGE(Modelo_final_tipificado!$F$2:$F$77,4),Modelo_final_tipificado!$F$2:$F$77,0))</f>
        <v>Mexico</v>
      </c>
      <c r="J28" s="10" t="str">
        <f>INDEX(Modelo_final_tipificado!$B$2:$B$77,MATCH(LARGE(Modelo_final_tipificado!$F$2:$F$77,4),Modelo_final_tipificado!$F$2:$F$77,0))</f>
        <v>MEX</v>
      </c>
      <c r="K28" s="12">
        <f>LARGE(Modelo_final_tipificado!$F$2:$F$77,4)</f>
        <v>1.298523669467784</v>
      </c>
      <c r="L28" s="10"/>
      <c r="M28" s="10"/>
      <c r="N28" s="10"/>
    </row>
    <row r="29" spans="1:14" x14ac:dyDescent="0.2">
      <c r="A29" s="10" t="str">
        <f>INDEX(Modelo_final_tipificado!$A$2:$A$77,MATCH(LARGE(Modelo_final_tipificado!$E$2:$E$77,5),Modelo_final_tipificado!$E$2:$E$77,0))</f>
        <v>France</v>
      </c>
      <c r="B29" s="10" t="str">
        <f>INDEX(Modelo_final_tipificado!$B$2:$B$77,MATCH(LARGE(Modelo_final_tipificado!$E$2:$E$77,5),Modelo_final_tipificado!$E$2:$E$77,0))</f>
        <v>FRA</v>
      </c>
      <c r="C29" s="12">
        <f>LARGE(Modelo_final_tipificado!$E$2:$E$77,5)</f>
        <v>83.139233284525929</v>
      </c>
      <c r="D29" s="10"/>
      <c r="E29" s="10" t="str">
        <f>INDEX(Modelo_final_tipificado!$A$2:$A$77,MATCH(SMALL(Modelo_final_tipificado!$E$2:$E$77,5),Modelo_final_tipificado!$E$2:$E$77,0))</f>
        <v>Kenya</v>
      </c>
      <c r="F29" s="10" t="str">
        <f>INDEX(Modelo_final_tipificado!$B$2:$B$77,MATCH(SMALL(Modelo_final_tipificado!$E$2:$E$77,5),Modelo_final_tipificado!$E$2:$E$77,0))</f>
        <v>KEN</v>
      </c>
      <c r="G29" s="12">
        <f>SMALL(Modelo_final_tipificado!$E$2:$E$77,5)</f>
        <v>61.928932492997177</v>
      </c>
      <c r="H29" s="10"/>
      <c r="I29" s="10" t="str">
        <f>INDEX(Modelo_final_tipificado!$A$2:$A$77,MATCH(LARGE(Modelo_final_tipificado!$F$2:$F$77,5),Modelo_final_tipificado!$F$2:$F$77,0))</f>
        <v>India</v>
      </c>
      <c r="J29" s="10" t="str">
        <f>INDEX(Modelo_final_tipificado!$B$2:$B$77,MATCH(LARGE(Modelo_final_tipificado!$F$2:$F$77,5),Modelo_final_tipificado!$F$2:$F$77,0))</f>
        <v>IND</v>
      </c>
      <c r="K29" s="12">
        <f>LARGE(Modelo_final_tipificado!$F$2:$F$77,5)</f>
        <v>1.285189565826343</v>
      </c>
      <c r="L29" s="10"/>
      <c r="M29" s="10"/>
      <c r="N29" s="10"/>
    </row>
    <row r="30" spans="1:14" x14ac:dyDescent="0.2">
      <c r="A30" s="10" t="str">
        <f>INDEX(Modelo_final_tipificado!$A$2:$A$77,MATCH(LARGE(Modelo_final_tipificado!$E$2:$E$77,6),Modelo_final_tipificado!$E$2:$E$77,0))</f>
        <v>Austria</v>
      </c>
      <c r="B30" s="10" t="str">
        <f>INDEX(Modelo_final_tipificado!$B$2:$B$77,MATCH(LARGE(Modelo_final_tipificado!$E$2:$E$77,6),Modelo_final_tipificado!$E$2:$E$77,0))</f>
        <v>AUT</v>
      </c>
      <c r="C30" s="12">
        <f>LARGE(Modelo_final_tipificado!$E$2:$E$77,6)</f>
        <v>83.012913138250667</v>
      </c>
      <c r="D30" s="10"/>
      <c r="E30" s="10" t="str">
        <f>INDEX(Modelo_final_tipificado!$A$2:$A$77,MATCH(SMALL(Modelo_final_tipificado!$E$2:$E$77,6),Modelo_final_tipificado!$E$2:$E$77,0))</f>
        <v>Bangladesh</v>
      </c>
      <c r="F30" s="10" t="str">
        <f>INDEX(Modelo_final_tipificado!$B$2:$B$77,MATCH(SMALL(Modelo_final_tipificado!$E$2:$E$77,6),Modelo_final_tipificado!$E$2:$E$77,0))</f>
        <v>BGD</v>
      </c>
      <c r="G30" s="12">
        <f>SMALL(Modelo_final_tipificado!$E$2:$E$77,6)</f>
        <v>63.882218606230389</v>
      </c>
      <c r="H30" s="10"/>
      <c r="I30" s="10" t="str">
        <f>INDEX(Modelo_final_tipificado!$A$2:$A$77,MATCH(LARGE(Modelo_final_tipificado!$F$2:$F$77,6),Modelo_final_tipificado!$F$2:$F$77,0))</f>
        <v>Malaysia</v>
      </c>
      <c r="J30" s="10" t="str">
        <f>INDEX(Modelo_final_tipificado!$B$2:$B$77,MATCH(LARGE(Modelo_final_tipificado!$F$2:$F$77,6),Modelo_final_tipificado!$F$2:$F$77,0))</f>
        <v>MYS</v>
      </c>
      <c r="K30" s="12">
        <f>LARGE(Modelo_final_tipificado!$F$2:$F$77,6)</f>
        <v>1.253680252100821</v>
      </c>
      <c r="L30" s="10"/>
      <c r="M30" s="10"/>
      <c r="N30" s="10"/>
    </row>
    <row r="31" spans="1:14" x14ac:dyDescent="0.2">
      <c r="A31" s="10" t="str">
        <f>INDEX(Modelo_final_tipificado!$A$2:$A$77,MATCH(LARGE(Modelo_final_tipificado!$E$2:$E$77,7),Modelo_final_tipificado!$E$2:$E$77,0))</f>
        <v>Norway</v>
      </c>
      <c r="B31" s="10" t="str">
        <f>INDEX(Modelo_final_tipificado!$B$2:$B$77,MATCH(LARGE(Modelo_final_tipificado!$E$2:$E$77,7),Modelo_final_tipificado!$E$2:$E$77,0))</f>
        <v>NOR</v>
      </c>
      <c r="C31" s="12">
        <f>LARGE(Modelo_final_tipificado!$E$2:$E$77,7)</f>
        <v>82.720585497998741</v>
      </c>
      <c r="D31" s="10"/>
      <c r="E31" s="10" t="str">
        <f>INDEX(Modelo_final_tipificado!$A$2:$A$77,MATCH(SMALL(Modelo_final_tipificado!$E$2:$E$77,7),Modelo_final_tipificado!$E$2:$E$77,0))</f>
        <v>South Africa</v>
      </c>
      <c r="F31" s="10" t="str">
        <f>INDEX(Modelo_final_tipificado!$B$2:$B$77,MATCH(SMALL(Modelo_final_tipificado!$E$2:$E$77,7),Modelo_final_tipificado!$E$2:$E$77,0))</f>
        <v>ZAF</v>
      </c>
      <c r="G31" s="12">
        <f>SMALL(Modelo_final_tipificado!$E$2:$E$77,7)</f>
        <v>64.114309451659452</v>
      </c>
      <c r="H31" s="10"/>
      <c r="I31" s="10" t="str">
        <f>INDEX(Modelo_final_tipificado!$A$2:$A$77,MATCH(LARGE(Modelo_final_tipificado!$F$2:$F$77,7),Modelo_final_tipificado!$F$2:$F$77,0))</f>
        <v>Zambia</v>
      </c>
      <c r="J31" s="10" t="str">
        <f>INDEX(Modelo_final_tipificado!$B$2:$B$77,MATCH(LARGE(Modelo_final_tipificado!$F$2:$F$77,7),Modelo_final_tipificado!$F$2:$F$77,0))</f>
        <v>ZMB</v>
      </c>
      <c r="K31" s="12">
        <f>LARGE(Modelo_final_tipificado!$F$2:$F$77,7)</f>
        <v>1.176909256880762</v>
      </c>
      <c r="L31" s="10"/>
      <c r="M31" s="10"/>
      <c r="N31" s="10"/>
    </row>
    <row r="32" spans="1:14" x14ac:dyDescent="0.2">
      <c r="A32" s="10" t="str">
        <f>INDEX(Modelo_final_tipificado!$A$2:$A$77,MATCH(LARGE(Modelo_final_tipificado!$E$2:$E$77,8),Modelo_final_tipificado!$E$2:$E$77,0))</f>
        <v>Croatia</v>
      </c>
      <c r="B32" s="10" t="str">
        <f>INDEX(Modelo_final_tipificado!$B$2:$B$77,MATCH(LARGE(Modelo_final_tipificado!$E$2:$E$77,8),Modelo_final_tipificado!$E$2:$E$77,0))</f>
        <v>HRV</v>
      </c>
      <c r="C32" s="12">
        <f>LARGE(Modelo_final_tipificado!$E$2:$E$77,8)</f>
        <v>82.389291783380003</v>
      </c>
      <c r="D32" s="10"/>
      <c r="E32" s="10" t="str">
        <f>INDEX(Modelo_final_tipificado!$A$2:$A$77,MATCH(SMALL(Modelo_final_tipificado!$E$2:$E$77,8),Modelo_final_tipificado!$E$2:$E$77,0))</f>
        <v>Mongolia</v>
      </c>
      <c r="F32" s="10" t="str">
        <f>INDEX(Modelo_final_tipificado!$B$2:$B$77,MATCH(SMALL(Modelo_final_tipificado!$E$2:$E$77,8),Modelo_final_tipificado!$E$2:$E$77,0))</f>
        <v>MNG</v>
      </c>
      <c r="G32" s="12">
        <f>SMALL(Modelo_final_tipificado!$E$2:$E$77,8)</f>
        <v>66.749046867838047</v>
      </c>
      <c r="H32" s="10"/>
      <c r="I32" s="10" t="str">
        <f>INDEX(Modelo_final_tipificado!$A$2:$A$77,MATCH(LARGE(Modelo_final_tipificado!$F$2:$F$77,8),Modelo_final_tipificado!$F$2:$F$77,0))</f>
        <v>Kenya</v>
      </c>
      <c r="J32" s="10" t="str">
        <f>INDEX(Modelo_final_tipificado!$B$2:$B$77,MATCH(LARGE(Modelo_final_tipificado!$F$2:$F$77,8),Modelo_final_tipificado!$F$2:$F$77,0))</f>
        <v>KEN</v>
      </c>
      <c r="K32" s="12">
        <f>LARGE(Modelo_final_tipificado!$F$2:$F$77,8)</f>
        <v>1.1459252567693601</v>
      </c>
      <c r="L32" s="10"/>
      <c r="M32" s="10"/>
      <c r="N32" s="10"/>
    </row>
    <row r="33" spans="1:14" x14ac:dyDescent="0.2">
      <c r="A33" s="10" t="str">
        <f>INDEX(Modelo_final_tipificado!$A$2:$A$77,MATCH(LARGE(Modelo_final_tipificado!$E$2:$E$77,9),Modelo_final_tipificado!$E$2:$E$77,0))</f>
        <v>Poland</v>
      </c>
      <c r="B33" s="10" t="str">
        <f>INDEX(Modelo_final_tipificado!$B$2:$B$77,MATCH(LARGE(Modelo_final_tipificado!$E$2:$E$77,9),Modelo_final_tipificado!$E$2:$E$77,0))</f>
        <v>POL</v>
      </c>
      <c r="C33" s="12">
        <f>LARGE(Modelo_final_tipificado!$E$2:$E$77,9)</f>
        <v>82.082900944480372</v>
      </c>
      <c r="D33" s="10"/>
      <c r="E33" s="10" t="str">
        <f>INDEX(Modelo_final_tipificado!$A$2:$A$77,MATCH(SMALL(Modelo_final_tipificado!$E$2:$E$77,9),Modelo_final_tipificado!$E$2:$E$77,0))</f>
        <v>India</v>
      </c>
      <c r="F33" s="10" t="str">
        <f>INDEX(Modelo_final_tipificado!$B$2:$B$77,MATCH(SMALL(Modelo_final_tipificado!$E$2:$E$77,9),Modelo_final_tipificado!$E$2:$E$77,0))</f>
        <v>IND</v>
      </c>
      <c r="G33" s="12">
        <f>SMALL(Modelo_final_tipificado!$E$2:$E$77,9)</f>
        <v>66.954602497665732</v>
      </c>
      <c r="H33" s="10"/>
      <c r="I33" s="10" t="str">
        <f>INDEX(Modelo_final_tipificado!$A$2:$A$77,MATCH(LARGE(Modelo_final_tipificado!$F$2:$F$77,9),Modelo_final_tipificado!$F$2:$F$77,0))</f>
        <v>Ukraine</v>
      </c>
      <c r="J33" s="10" t="str">
        <f>INDEX(Modelo_final_tipificado!$B$2:$B$77,MATCH(LARGE(Modelo_final_tipificado!$F$2:$F$77,9),Modelo_final_tipificado!$F$2:$F$77,0))</f>
        <v>UKR</v>
      </c>
      <c r="K33" s="12">
        <f>LARGE(Modelo_final_tipificado!$F$2:$F$77,9)</f>
        <v>1.1280639849121461</v>
      </c>
      <c r="L33" s="10"/>
      <c r="M33" s="10"/>
      <c r="N33" s="10"/>
    </row>
    <row r="34" spans="1:14" x14ac:dyDescent="0.2">
      <c r="A34" s="10" t="str">
        <f>INDEX(Modelo_final_tipificado!$A$2:$A$77,MATCH(LARGE(Modelo_final_tipificado!$E$2:$E$77,10),Modelo_final_tipificado!$E$2:$E$77,0))</f>
        <v>Czechia</v>
      </c>
      <c r="B34" s="10" t="str">
        <f>INDEX(Modelo_final_tipificado!$B$2:$B$77,MATCH(LARGE(Modelo_final_tipificado!$E$2:$E$77,10),Modelo_final_tipificado!$E$2:$E$77,0))</f>
        <v>CZE</v>
      </c>
      <c r="C34" s="12">
        <f>LARGE(Modelo_final_tipificado!$E$2:$E$77,10)</f>
        <v>81.93560967978101</v>
      </c>
      <c r="D34" s="10"/>
      <c r="E34" s="10" t="str">
        <f>INDEX(Modelo_final_tipificado!$A$2:$A$77,MATCH(SMALL(Modelo_final_tipificado!$E$2:$E$77,10),Modelo_final_tipificado!$E$2:$E$77,0))</f>
        <v>Egypt, Arab Rep.</v>
      </c>
      <c r="F34" s="10" t="str">
        <f>INDEX(Modelo_final_tipificado!$B$2:$B$77,MATCH(SMALL(Modelo_final_tipificado!$E$2:$E$77,10),Modelo_final_tipificado!$E$2:$E$77,0))</f>
        <v>EGY</v>
      </c>
      <c r="G34" s="12">
        <f>SMALL(Modelo_final_tipificado!$E$2:$E$77,10)</f>
        <v>68.091049849333672</v>
      </c>
      <c r="H34" s="10"/>
      <c r="I34" s="10" t="str">
        <f>INDEX(Modelo_final_tipificado!$A$2:$A$77,MATCH(LARGE(Modelo_final_tipificado!$F$2:$F$77,10),Modelo_final_tipificado!$F$2:$F$77,0))</f>
        <v>Lithuania</v>
      </c>
      <c r="J34" s="10" t="str">
        <f>INDEX(Modelo_final_tipificado!$B$2:$B$77,MATCH(LARGE(Modelo_final_tipificado!$F$2:$F$77,10),Modelo_final_tipificado!$F$2:$F$77,0))</f>
        <v>LTU</v>
      </c>
      <c r="K34" s="12">
        <f>LARGE(Modelo_final_tipificado!$F$2:$F$77,10)</f>
        <v>1.11819260249554</v>
      </c>
      <c r="L34" s="10"/>
      <c r="M34" s="10"/>
      <c r="N34" s="10"/>
    </row>
    <row r="35" spans="1:14" x14ac:dyDescent="0.2">
      <c r="A35" s="10"/>
      <c r="B35" s="10"/>
      <c r="C35" s="10"/>
      <c r="D35" s="10"/>
      <c r="E35" s="10"/>
      <c r="F35" s="10"/>
      <c r="G35" s="10"/>
      <c r="H35" s="10"/>
      <c r="I35" s="10"/>
      <c r="J35" s="10"/>
      <c r="K35" s="10"/>
      <c r="L35" s="10"/>
      <c r="M35" s="10"/>
      <c r="N35" s="10"/>
    </row>
    <row r="36" spans="1:14" x14ac:dyDescent="0.2">
      <c r="A36" s="10"/>
      <c r="B36" s="10"/>
      <c r="C36" s="10"/>
      <c r="D36" s="10"/>
      <c r="E36" s="10"/>
      <c r="F36" s="10"/>
      <c r="G36" s="10"/>
      <c r="H36" s="10"/>
      <c r="I36" s="10"/>
      <c r="J36" s="10"/>
      <c r="K36" s="10"/>
      <c r="L36" s="10"/>
      <c r="M36" s="10"/>
      <c r="N36" s="10"/>
    </row>
    <row r="37" spans="1:14" x14ac:dyDescent="0.2">
      <c r="A37" s="16" t="s">
        <v>230</v>
      </c>
      <c r="B37" s="15"/>
      <c r="C37" s="15"/>
      <c r="D37" s="15"/>
      <c r="E37" s="15"/>
      <c r="F37" s="15"/>
      <c r="G37" s="15"/>
      <c r="H37" s="15"/>
      <c r="I37" s="15"/>
      <c r="J37" s="15"/>
      <c r="K37" s="15"/>
      <c r="L37" s="10"/>
      <c r="M37" s="10"/>
      <c r="N37" s="10"/>
    </row>
    <row r="38" spans="1:14" x14ac:dyDescent="0.2">
      <c r="A38" s="11" t="s">
        <v>215</v>
      </c>
      <c r="B38" s="11" t="s">
        <v>10</v>
      </c>
      <c r="C38" s="11" t="s">
        <v>164</v>
      </c>
      <c r="D38" s="11" t="s">
        <v>165</v>
      </c>
      <c r="E38" s="11" t="s">
        <v>166</v>
      </c>
      <c r="F38" s="11" t="s">
        <v>184</v>
      </c>
      <c r="G38" s="11" t="s">
        <v>185</v>
      </c>
      <c r="H38" s="11" t="s">
        <v>186</v>
      </c>
      <c r="I38" s="11" t="s">
        <v>187</v>
      </c>
      <c r="J38" s="11" t="s">
        <v>188</v>
      </c>
      <c r="K38" s="11" t="s">
        <v>189</v>
      </c>
      <c r="L38" s="10"/>
      <c r="M38" s="10"/>
      <c r="N38" s="10"/>
    </row>
    <row r="39" spans="1:14" x14ac:dyDescent="0.2">
      <c r="A39" s="10" t="s">
        <v>10</v>
      </c>
      <c r="B39" s="12">
        <f>CORREL(Modelo_final_tipificado!C2:C77,Modelo_final_tipificado!C2:C77)</f>
        <v>0.99999999999999989</v>
      </c>
      <c r="C39" s="12">
        <f>CORREL(Modelo_final_tipificado!C2:C77,Modelo_final_tipificado!D2:D77)</f>
        <v>0.98732366366643687</v>
      </c>
      <c r="D39" s="12">
        <f>CORREL(Modelo_final_tipificado!C2:C77,Modelo_final_tipificado!E2:E77)</f>
        <v>0.98427507058932961</v>
      </c>
      <c r="E39" s="12">
        <f>CORREL(Modelo_final_tipificado!C2:C77,Modelo_final_tipificado!F2:F77)</f>
        <v>-0.33127251107704969</v>
      </c>
      <c r="F39" s="12">
        <f>CORREL(Modelo_final_tipificado!C2:C77,Modelo_final_tipificado!G2:G77)</f>
        <v>0.82458550517856177</v>
      </c>
      <c r="G39" s="12">
        <f>CORREL(Modelo_final_tipificado!C2:C77,Modelo_final_tipificado!H2:H77)</f>
        <v>0.70815389304519383</v>
      </c>
      <c r="H39" s="12">
        <f>CORREL(Modelo_final_tipificado!C2:C77,Modelo_final_tipificado!I2:I77)</f>
        <v>0.55043987025953178</v>
      </c>
      <c r="I39" s="12">
        <f>CORREL(Modelo_final_tipificado!C2:C77,Modelo_final_tipificado!J2:J77)</f>
        <v>0.74327238196340362</v>
      </c>
      <c r="J39" s="12">
        <f>CORREL(Modelo_final_tipificado!C2:C77,Modelo_final_tipificado!K2:K77)</f>
        <v>0.60535605349374499</v>
      </c>
      <c r="K39" s="12">
        <f>CORREL(Modelo_final_tipificado!C2:C77,Modelo_final_tipificado!L2:L77)</f>
        <v>0.23171261545456362</v>
      </c>
      <c r="L39" s="10"/>
      <c r="M39" s="10"/>
      <c r="N39" s="10"/>
    </row>
    <row r="40" spans="1:14" x14ac:dyDescent="0.2">
      <c r="A40" s="10" t="s">
        <v>164</v>
      </c>
      <c r="B40" s="12">
        <f>CORREL(Modelo_final_tipificado!D2:D77,Modelo_final_tipificado!C2:C77)</f>
        <v>0.98732366366643687</v>
      </c>
      <c r="C40" s="12">
        <f>CORREL(Modelo_final_tipificado!D2:D77,Modelo_final_tipificado!D2:D77)</f>
        <v>0.99999999999999989</v>
      </c>
      <c r="D40" s="12">
        <f>CORREL(Modelo_final_tipificado!D2:D77,Modelo_final_tipificado!E2:E77)</f>
        <v>0.99644170970934465</v>
      </c>
      <c r="E40" s="12">
        <f>CORREL(Modelo_final_tipificado!D2:D77,Modelo_final_tipificado!F2:F77)</f>
        <v>-0.34077451452742108</v>
      </c>
      <c r="F40" s="12">
        <f>CORREL(Modelo_final_tipificado!D2:D77,Modelo_final_tipificado!G2:G77)</f>
        <v>0.77963624318345037</v>
      </c>
      <c r="G40" s="12">
        <f>CORREL(Modelo_final_tipificado!D2:D77,Modelo_final_tipificado!H2:H77)</f>
        <v>0.65718693508914983</v>
      </c>
      <c r="H40" s="12">
        <f>CORREL(Modelo_final_tipificado!D2:D77,Modelo_final_tipificado!I2:I77)</f>
        <v>0.52449420227334997</v>
      </c>
      <c r="I40" s="12">
        <f>CORREL(Modelo_final_tipificado!D2:D77,Modelo_final_tipificado!J2:J77)</f>
        <v>0.72275672730803819</v>
      </c>
      <c r="J40" s="12">
        <f>CORREL(Modelo_final_tipificado!D2:D77,Modelo_final_tipificado!K2:K77)</f>
        <v>0.55427536974963909</v>
      </c>
      <c r="K40" s="12">
        <f>CORREL(Modelo_final_tipificado!D2:D77,Modelo_final_tipificado!L2:L77)</f>
        <v>0.19769868540181137</v>
      </c>
      <c r="L40" s="10"/>
      <c r="M40" s="10"/>
      <c r="N40" s="10"/>
    </row>
    <row r="41" spans="1:14" x14ac:dyDescent="0.2">
      <c r="A41" s="10" t="s">
        <v>165</v>
      </c>
      <c r="B41" s="12">
        <f>CORREL(Modelo_final_tipificado!E2:E77,Modelo_final_tipificado!C2:C77)</f>
        <v>0.98427507058932961</v>
      </c>
      <c r="C41" s="12">
        <f>CORREL(Modelo_final_tipificado!E2:E77,Modelo_final_tipificado!D2:D77)</f>
        <v>0.99644170970934465</v>
      </c>
      <c r="D41" s="12">
        <f>CORREL(Modelo_final_tipificado!E2:E77,Modelo_final_tipificado!E2:E77)</f>
        <v>0.99999999999999989</v>
      </c>
      <c r="E41" s="12">
        <f>CORREL(Modelo_final_tipificado!E2:E77,Modelo_final_tipificado!F2:F77)</f>
        <v>-0.26032204831175543</v>
      </c>
      <c r="F41" s="12">
        <f>CORREL(Modelo_final_tipificado!E2:E77,Modelo_final_tipificado!G2:G77)</f>
        <v>0.78748959690096387</v>
      </c>
      <c r="G41" s="12">
        <f>CORREL(Modelo_final_tipificado!E2:E77,Modelo_final_tipificado!H2:H77)</f>
        <v>0.67339334779257909</v>
      </c>
      <c r="H41" s="12">
        <f>CORREL(Modelo_final_tipificado!E2:E77,Modelo_final_tipificado!I2:I77)</f>
        <v>0.5293638182203424</v>
      </c>
      <c r="I41" s="12">
        <f>CORREL(Modelo_final_tipificado!E2:E77,Modelo_final_tipificado!J2:J77)</f>
        <v>0.7243391372859681</v>
      </c>
      <c r="J41" s="12">
        <f>CORREL(Modelo_final_tipificado!E2:E77,Modelo_final_tipificado!K2:K77)</f>
        <v>0.55637510111658328</v>
      </c>
      <c r="K41" s="12">
        <f>CORREL(Modelo_final_tipificado!E2:E77,Modelo_final_tipificado!L2:L77)</f>
        <v>0.21517124001776994</v>
      </c>
      <c r="L41" s="10"/>
      <c r="M41" s="10"/>
      <c r="N41" s="10"/>
    </row>
    <row r="42" spans="1:14" x14ac:dyDescent="0.2">
      <c r="A42" s="10" t="s">
        <v>166</v>
      </c>
      <c r="B42" s="12">
        <f>CORREL(Modelo_final_tipificado!F2:F77,Modelo_final_tipificado!C2:C77)</f>
        <v>-0.33127251107704969</v>
      </c>
      <c r="C42" s="12">
        <f>CORREL(Modelo_final_tipificado!F2:F77,Modelo_final_tipificado!D2:D77)</f>
        <v>-0.34077451452742108</v>
      </c>
      <c r="D42" s="12">
        <f>CORREL(Modelo_final_tipificado!F2:F77,Modelo_final_tipificado!E2:E77)</f>
        <v>-0.26032204831175543</v>
      </c>
      <c r="E42" s="12">
        <f>CORREL(Modelo_final_tipificado!F2:F77,Modelo_final_tipificado!F2:F77)</f>
        <v>1.0000000000000002</v>
      </c>
      <c r="F42" s="12">
        <f>CORREL(Modelo_final_tipificado!F2:F77,Modelo_final_tipificado!G2:G77)</f>
        <v>-0.14713658465118801</v>
      </c>
      <c r="G42" s="12">
        <f>CORREL(Modelo_final_tipificado!F2:F77,Modelo_final_tipificado!H2:H77)</f>
        <v>-1.7095777223240335E-2</v>
      </c>
      <c r="H42" s="12">
        <f>CORREL(Modelo_final_tipificado!F2:F77,Modelo_final_tipificado!I2:I77)</f>
        <v>-0.10356961247155815</v>
      </c>
      <c r="I42" s="12">
        <f>CORREL(Modelo_final_tipificado!F2:F77,Modelo_final_tipificado!J2:J77)</f>
        <v>-0.19995963330368779</v>
      </c>
      <c r="J42" s="12">
        <f>CORREL(Modelo_final_tipificado!F2:F77,Modelo_final_tipificado!K2:K77)</f>
        <v>-0.14173908781337738</v>
      </c>
      <c r="K42" s="12">
        <f>CORREL(Modelo_final_tipificado!F2:F77,Modelo_final_tipificado!L2:L77)</f>
        <v>0.13537180347145064</v>
      </c>
      <c r="L42" s="10"/>
      <c r="M42" s="10"/>
      <c r="N42" s="10"/>
    </row>
    <row r="43" spans="1:14" x14ac:dyDescent="0.2">
      <c r="A43" s="10" t="s">
        <v>184</v>
      </c>
      <c r="B43" s="12">
        <f>CORREL(Modelo_final_tipificado!G2:G77,Modelo_final_tipificado!C2:C77)</f>
        <v>0.82458550517856177</v>
      </c>
      <c r="C43" s="12">
        <f>CORREL(Modelo_final_tipificado!G2:G77,Modelo_final_tipificado!D2:D77)</f>
        <v>0.77963624318345037</v>
      </c>
      <c r="D43" s="12">
        <f>CORREL(Modelo_final_tipificado!G2:G77,Modelo_final_tipificado!E2:E77)</f>
        <v>0.78748959690096387</v>
      </c>
      <c r="E43" s="12">
        <f>CORREL(Modelo_final_tipificado!G2:G77,Modelo_final_tipificado!F2:F77)</f>
        <v>-0.14713658465118801</v>
      </c>
      <c r="F43" s="12">
        <f>CORREL(Modelo_final_tipificado!G2:G77,Modelo_final_tipificado!G2:G77)</f>
        <v>1</v>
      </c>
      <c r="G43" s="12">
        <f>CORREL(Modelo_final_tipificado!G2:G77,Modelo_final_tipificado!H2:H77)</f>
        <v>0.86060230442598284</v>
      </c>
      <c r="H43" s="12">
        <f>CORREL(Modelo_final_tipificado!G2:G77,Modelo_final_tipificado!I2:I77)</f>
        <v>0.43783616120668706</v>
      </c>
      <c r="I43" s="12">
        <f>CORREL(Modelo_final_tipificado!G2:G77,Modelo_final_tipificado!J2:J77)</f>
        <v>0.73753967791300368</v>
      </c>
      <c r="J43" s="12">
        <f>CORREL(Modelo_final_tipificado!G2:G77,Modelo_final_tipificado!K2:K77)</f>
        <v>0.67797805364371744</v>
      </c>
      <c r="K43" s="12">
        <f>CORREL(Modelo_final_tipificado!G2:G77,Modelo_final_tipificado!L2:L77)</f>
        <v>0.41212235381873097</v>
      </c>
      <c r="L43" s="10"/>
      <c r="M43" s="10"/>
      <c r="N43" s="10"/>
    </row>
    <row r="44" spans="1:14" x14ac:dyDescent="0.2">
      <c r="A44" s="10" t="s">
        <v>185</v>
      </c>
      <c r="B44" s="12">
        <f>CORREL(Modelo_final_tipificado!H2:H77,Modelo_final_tipificado!C2:C77)</f>
        <v>0.70815389304519383</v>
      </c>
      <c r="C44" s="12">
        <f>CORREL(Modelo_final_tipificado!H2:H77,Modelo_final_tipificado!D2:D77)</f>
        <v>0.65718693508914983</v>
      </c>
      <c r="D44" s="12">
        <f>CORREL(Modelo_final_tipificado!H2:H77,Modelo_final_tipificado!E2:E77)</f>
        <v>0.67339334779257909</v>
      </c>
      <c r="E44" s="12">
        <f>CORREL(Modelo_final_tipificado!H2:H77,Modelo_final_tipificado!F2:F77)</f>
        <v>-1.7095777223240335E-2</v>
      </c>
      <c r="F44" s="12">
        <f>CORREL(Modelo_final_tipificado!H2:H77,Modelo_final_tipificado!G2:G77)</f>
        <v>0.86060230442598284</v>
      </c>
      <c r="G44" s="12">
        <f>CORREL(Modelo_final_tipificado!H2:H77,Modelo_final_tipificado!H2:H77)</f>
        <v>1</v>
      </c>
      <c r="H44" s="12">
        <f>CORREL(Modelo_final_tipificado!H2:H77,Modelo_final_tipificado!I2:I77)</f>
        <v>0.49332433824404726</v>
      </c>
      <c r="I44" s="12">
        <f>CORREL(Modelo_final_tipificado!H2:H77,Modelo_final_tipificado!J2:J77)</f>
        <v>0.65940916086686807</v>
      </c>
      <c r="J44" s="12">
        <f>CORREL(Modelo_final_tipificado!H2:H77,Modelo_final_tipificado!K2:K77)</f>
        <v>0.78700239748799161</v>
      </c>
      <c r="K44" s="12">
        <f>CORREL(Modelo_final_tipificado!H2:H77,Modelo_final_tipificado!L2:L77)</f>
        <v>0.38137478569076771</v>
      </c>
      <c r="L44" s="10"/>
      <c r="M44" s="10"/>
      <c r="N44" s="10"/>
    </row>
    <row r="45" spans="1:14" x14ac:dyDescent="0.2">
      <c r="A45" s="10" t="s">
        <v>186</v>
      </c>
      <c r="B45" s="12">
        <f>CORREL(Modelo_final_tipificado!I2:I77,Modelo_final_tipificado!C2:C77)</f>
        <v>0.55043987025953178</v>
      </c>
      <c r="C45" s="12">
        <f>CORREL(Modelo_final_tipificado!I2:I77,Modelo_final_tipificado!D2:D77)</f>
        <v>0.52449420227334997</v>
      </c>
      <c r="D45" s="12">
        <f>CORREL(Modelo_final_tipificado!I2:I77,Modelo_final_tipificado!E2:E77)</f>
        <v>0.5293638182203424</v>
      </c>
      <c r="E45" s="12">
        <f>CORREL(Modelo_final_tipificado!I2:I77,Modelo_final_tipificado!F2:F77)</f>
        <v>-0.10356961247155815</v>
      </c>
      <c r="F45" s="12">
        <f>CORREL(Modelo_final_tipificado!I2:I77,Modelo_final_tipificado!G2:G77)</f>
        <v>0.43783616120668706</v>
      </c>
      <c r="G45" s="12">
        <f>CORREL(Modelo_final_tipificado!I2:I77,Modelo_final_tipificado!H2:H77)</f>
        <v>0.49332433824404726</v>
      </c>
      <c r="H45" s="12">
        <f>CORREL(Modelo_final_tipificado!I2:I77,Modelo_final_tipificado!I2:I77)</f>
        <v>1</v>
      </c>
      <c r="I45" s="12">
        <f>CORREL(Modelo_final_tipificado!I2:I77,Modelo_final_tipificado!J2:J77)</f>
        <v>0.41041933526524504</v>
      </c>
      <c r="J45" s="12">
        <f>CORREL(Modelo_final_tipificado!I2:I77,Modelo_final_tipificado!K2:K77)</f>
        <v>0.48706469011795522</v>
      </c>
      <c r="K45" s="12">
        <f>CORREL(Modelo_final_tipificado!I2:I77,Modelo_final_tipificado!L2:L77)</f>
        <v>9.4889870878436297E-2</v>
      </c>
      <c r="L45" s="10"/>
      <c r="M45" s="10"/>
      <c r="N45" s="10"/>
    </row>
    <row r="46" spans="1:14" x14ac:dyDescent="0.2">
      <c r="A46" s="10" t="s">
        <v>187</v>
      </c>
      <c r="B46" s="12">
        <f>CORREL(Modelo_final_tipificado!J2:J77,Modelo_final_tipificado!C2:C77)</f>
        <v>0.74327238196340362</v>
      </c>
      <c r="C46" s="12">
        <f>CORREL(Modelo_final_tipificado!J2:J77,Modelo_final_tipificado!D2:D77)</f>
        <v>0.72275672730803819</v>
      </c>
      <c r="D46" s="12">
        <f>CORREL(Modelo_final_tipificado!J2:J77,Modelo_final_tipificado!E2:E77)</f>
        <v>0.7243391372859681</v>
      </c>
      <c r="E46" s="12">
        <f>CORREL(Modelo_final_tipificado!J2:J77,Modelo_final_tipificado!F2:F77)</f>
        <v>-0.19995963330368779</v>
      </c>
      <c r="F46" s="12">
        <f>CORREL(Modelo_final_tipificado!J2:J77,Modelo_final_tipificado!G2:G77)</f>
        <v>0.73753967791300368</v>
      </c>
      <c r="G46" s="12">
        <f>CORREL(Modelo_final_tipificado!J2:J77,Modelo_final_tipificado!H2:H77)</f>
        <v>0.65940916086686807</v>
      </c>
      <c r="H46" s="12">
        <f>CORREL(Modelo_final_tipificado!J2:J77,Modelo_final_tipificado!I2:I77)</f>
        <v>0.41041933526524504</v>
      </c>
      <c r="I46" s="12">
        <f>CORREL(Modelo_final_tipificado!J2:J77,Modelo_final_tipificado!J2:J77)</f>
        <v>1.0000000000000002</v>
      </c>
      <c r="J46" s="12">
        <f>CORREL(Modelo_final_tipificado!J2:J77,Modelo_final_tipificado!K2:K77)</f>
        <v>0.78911245764880789</v>
      </c>
      <c r="K46" s="12">
        <f>CORREL(Modelo_final_tipificado!J2:J77,Modelo_final_tipificado!L2:L77)</f>
        <v>0.17109655352033756</v>
      </c>
      <c r="L46" s="10"/>
      <c r="M46" s="10"/>
      <c r="N46" s="10"/>
    </row>
    <row r="47" spans="1:14" x14ac:dyDescent="0.2">
      <c r="A47" s="10" t="s">
        <v>188</v>
      </c>
      <c r="B47" s="12">
        <f>CORREL(Modelo_final_tipificado!K2:K77,Modelo_final_tipificado!C2:C77)</f>
        <v>0.60535605349374499</v>
      </c>
      <c r="C47" s="12">
        <f>CORREL(Modelo_final_tipificado!K2:K77,Modelo_final_tipificado!D2:D77)</f>
        <v>0.55427536974963909</v>
      </c>
      <c r="D47" s="12">
        <f>CORREL(Modelo_final_tipificado!K2:K77,Modelo_final_tipificado!E2:E77)</f>
        <v>0.55637510111658328</v>
      </c>
      <c r="E47" s="12">
        <f>CORREL(Modelo_final_tipificado!K2:K77,Modelo_final_tipificado!F2:F77)</f>
        <v>-0.14173908781337738</v>
      </c>
      <c r="F47" s="12">
        <f>CORREL(Modelo_final_tipificado!K2:K77,Modelo_final_tipificado!G2:G77)</f>
        <v>0.67797805364371744</v>
      </c>
      <c r="G47" s="12">
        <f>CORREL(Modelo_final_tipificado!K2:K77,Modelo_final_tipificado!H2:H77)</f>
        <v>0.78700239748799161</v>
      </c>
      <c r="H47" s="12">
        <f>CORREL(Modelo_final_tipificado!K2:K77,Modelo_final_tipificado!I2:I77)</f>
        <v>0.48706469011795522</v>
      </c>
      <c r="I47" s="12">
        <f>CORREL(Modelo_final_tipificado!K2:K77,Modelo_final_tipificado!J2:J77)</f>
        <v>0.78911245764880789</v>
      </c>
      <c r="J47" s="12">
        <f>CORREL(Modelo_final_tipificado!K2:K77,Modelo_final_tipificado!K2:K77)</f>
        <v>1</v>
      </c>
      <c r="K47" s="12">
        <f>CORREL(Modelo_final_tipificado!K2:K77,Modelo_final_tipificado!L2:L77)</f>
        <v>9.3659018235391994E-2</v>
      </c>
      <c r="L47" s="10"/>
      <c r="M47" s="10"/>
      <c r="N47" s="10"/>
    </row>
    <row r="48" spans="1:14" x14ac:dyDescent="0.2">
      <c r="A48" s="10" t="s">
        <v>189</v>
      </c>
      <c r="B48" s="12">
        <f>CORREL(Modelo_final_tipificado!L2:L77,Modelo_final_tipificado!C2:C77)</f>
        <v>0.23171261545456362</v>
      </c>
      <c r="C48" s="12">
        <f>CORREL(Modelo_final_tipificado!L2:L77,Modelo_final_tipificado!D2:D77)</f>
        <v>0.19769868540181137</v>
      </c>
      <c r="D48" s="12">
        <f>CORREL(Modelo_final_tipificado!L2:L77,Modelo_final_tipificado!E2:E77)</f>
        <v>0.21517124001776994</v>
      </c>
      <c r="E48" s="12">
        <f>CORREL(Modelo_final_tipificado!L2:L77,Modelo_final_tipificado!F2:F77)</f>
        <v>0.13537180347145064</v>
      </c>
      <c r="F48" s="12">
        <f>CORREL(Modelo_final_tipificado!L2:L77,Modelo_final_tipificado!G2:G77)</f>
        <v>0.41212235381873097</v>
      </c>
      <c r="G48" s="12">
        <f>CORREL(Modelo_final_tipificado!L2:L77,Modelo_final_tipificado!H2:H77)</f>
        <v>0.38137478569076771</v>
      </c>
      <c r="H48" s="12">
        <f>CORREL(Modelo_final_tipificado!L2:L77,Modelo_final_tipificado!I2:I77)</f>
        <v>9.4889870878436297E-2</v>
      </c>
      <c r="I48" s="12">
        <f>CORREL(Modelo_final_tipificado!L2:L77,Modelo_final_tipificado!J2:J77)</f>
        <v>0.17109655352033756</v>
      </c>
      <c r="J48" s="12">
        <f>CORREL(Modelo_final_tipificado!L2:L77,Modelo_final_tipificado!K2:K77)</f>
        <v>9.3659018235391994E-2</v>
      </c>
      <c r="K48" s="12">
        <f>CORREL(Modelo_final_tipificado!L2:L77,Modelo_final_tipificado!L2:L77)</f>
        <v>1</v>
      </c>
      <c r="L48" s="10"/>
      <c r="M48" s="10"/>
      <c r="N48" s="10"/>
    </row>
    <row r="52" spans="1:14" x14ac:dyDescent="0.2">
      <c r="A52" s="16" t="s">
        <v>239</v>
      </c>
      <c r="B52" s="16"/>
      <c r="C52" s="16"/>
      <c r="D52" s="16"/>
      <c r="E52" s="16"/>
      <c r="F52" s="16"/>
      <c r="G52" s="16"/>
      <c r="H52" s="16"/>
      <c r="I52" s="16"/>
      <c r="J52" s="16"/>
      <c r="K52" s="16"/>
      <c r="L52" s="16"/>
      <c r="M52" s="16"/>
      <c r="N52" s="16"/>
    </row>
    <row r="53" spans="1:14" x14ac:dyDescent="0.2">
      <c r="A53" s="20" t="s">
        <v>240</v>
      </c>
      <c r="B53" s="20"/>
      <c r="C53" s="20"/>
      <c r="D53" s="20"/>
      <c r="E53" s="20"/>
      <c r="F53" s="20"/>
      <c r="G53" s="20"/>
      <c r="H53" s="20"/>
      <c r="I53" s="20"/>
      <c r="J53" s="20"/>
      <c r="K53" s="20"/>
      <c r="L53" s="20"/>
      <c r="M53" s="20"/>
      <c r="N53" s="20"/>
    </row>
    <row r="54" spans="1:14" x14ac:dyDescent="0.2">
      <c r="A54" s="20"/>
      <c r="B54" s="20"/>
      <c r="C54" s="20"/>
      <c r="D54" s="20"/>
      <c r="E54" s="20"/>
      <c r="F54" s="20"/>
      <c r="G54" s="20"/>
      <c r="H54" s="20"/>
      <c r="I54" s="20"/>
      <c r="J54" s="20"/>
      <c r="K54" s="20"/>
      <c r="L54" s="20"/>
      <c r="M54" s="20"/>
      <c r="N54" s="20"/>
    </row>
    <row r="55" spans="1:14" x14ac:dyDescent="0.2">
      <c r="A55" s="20"/>
      <c r="B55" s="20"/>
      <c r="C55" s="20"/>
      <c r="D55" s="20"/>
      <c r="E55" s="20"/>
      <c r="F55" s="20"/>
      <c r="G55" s="20"/>
      <c r="H55" s="20"/>
      <c r="I55" s="20"/>
      <c r="J55" s="20"/>
      <c r="K55" s="20"/>
      <c r="L55" s="20"/>
      <c r="M55" s="20"/>
      <c r="N55" s="20"/>
    </row>
    <row r="56" spans="1:14" x14ac:dyDescent="0.2">
      <c r="A56" s="20"/>
      <c r="B56" s="20"/>
      <c r="C56" s="20"/>
      <c r="D56" s="20"/>
      <c r="E56" s="20"/>
      <c r="F56" s="20"/>
      <c r="G56" s="20"/>
      <c r="H56" s="20"/>
      <c r="I56" s="20"/>
      <c r="J56" s="20"/>
      <c r="K56" s="20"/>
      <c r="L56" s="20"/>
      <c r="M56" s="20"/>
      <c r="N56" s="20"/>
    </row>
    <row r="57" spans="1:14" x14ac:dyDescent="0.2">
      <c r="A57" s="20"/>
      <c r="B57" s="20"/>
      <c r="C57" s="20"/>
      <c r="D57" s="20"/>
      <c r="E57" s="20"/>
      <c r="F57" s="20"/>
      <c r="G57" s="20"/>
      <c r="H57" s="20"/>
      <c r="I57" s="20"/>
      <c r="J57" s="20"/>
      <c r="K57" s="20"/>
      <c r="L57" s="20"/>
      <c r="M57" s="20"/>
      <c r="N57" s="20"/>
    </row>
    <row r="58" spans="1:14" x14ac:dyDescent="0.2">
      <c r="A58" s="20"/>
      <c r="B58" s="20"/>
      <c r="C58" s="20"/>
      <c r="D58" s="20"/>
      <c r="E58" s="20"/>
      <c r="F58" s="20"/>
      <c r="G58" s="20"/>
      <c r="H58" s="20"/>
      <c r="I58" s="20"/>
      <c r="J58" s="20"/>
      <c r="K58" s="20"/>
      <c r="L58" s="20"/>
      <c r="M58" s="20"/>
      <c r="N58" s="20"/>
    </row>
    <row r="59" spans="1:14" x14ac:dyDescent="0.2">
      <c r="A59" s="20" t="s">
        <v>241</v>
      </c>
      <c r="B59" s="20"/>
      <c r="C59" s="20"/>
      <c r="D59" s="20"/>
      <c r="E59" s="20"/>
      <c r="F59" s="20"/>
      <c r="G59" s="20"/>
      <c r="H59" s="20"/>
      <c r="I59" s="20"/>
      <c r="J59" s="20"/>
      <c r="K59" s="20"/>
      <c r="L59" s="20"/>
      <c r="M59" s="20"/>
      <c r="N59" s="20"/>
    </row>
    <row r="60" spans="1:14" x14ac:dyDescent="0.2">
      <c r="A60" s="20"/>
      <c r="B60" s="20"/>
      <c r="C60" s="20"/>
      <c r="D60" s="20"/>
      <c r="E60" s="20"/>
      <c r="F60" s="20"/>
      <c r="G60" s="20"/>
      <c r="H60" s="20"/>
      <c r="I60" s="20"/>
      <c r="J60" s="20"/>
      <c r="K60" s="20"/>
      <c r="L60" s="20"/>
      <c r="M60" s="20"/>
      <c r="N60" s="20"/>
    </row>
    <row r="61" spans="1:14" x14ac:dyDescent="0.2">
      <c r="A61" s="20"/>
      <c r="B61" s="20"/>
      <c r="C61" s="20"/>
      <c r="D61" s="20"/>
      <c r="E61" s="20"/>
      <c r="F61" s="20"/>
      <c r="G61" s="20"/>
      <c r="H61" s="20"/>
      <c r="I61" s="20"/>
      <c r="J61" s="20"/>
      <c r="K61" s="20"/>
      <c r="L61" s="20"/>
      <c r="M61" s="20"/>
      <c r="N61" s="20"/>
    </row>
    <row r="62" spans="1:14" x14ac:dyDescent="0.2">
      <c r="A62" s="20"/>
      <c r="B62" s="20"/>
      <c r="C62" s="20"/>
      <c r="D62" s="20"/>
      <c r="E62" s="20"/>
      <c r="F62" s="20"/>
      <c r="G62" s="20"/>
      <c r="H62" s="20"/>
      <c r="I62" s="20"/>
      <c r="J62" s="20"/>
      <c r="K62" s="20"/>
      <c r="L62" s="20"/>
      <c r="M62" s="20"/>
      <c r="N62" s="20"/>
    </row>
    <row r="63" spans="1:14" x14ac:dyDescent="0.2">
      <c r="A63" s="20"/>
      <c r="B63" s="20"/>
      <c r="C63" s="20"/>
      <c r="D63" s="20"/>
      <c r="E63" s="20"/>
      <c r="F63" s="20"/>
      <c r="G63" s="20"/>
      <c r="H63" s="20"/>
      <c r="I63" s="20"/>
      <c r="J63" s="20"/>
      <c r="K63" s="20"/>
      <c r="L63" s="20"/>
      <c r="M63" s="20"/>
      <c r="N63" s="20"/>
    </row>
    <row r="64" spans="1:14" x14ac:dyDescent="0.2">
      <c r="A64" s="20" t="s">
        <v>242</v>
      </c>
      <c r="B64" s="20"/>
      <c r="C64" s="20"/>
      <c r="D64" s="20"/>
      <c r="E64" s="20"/>
      <c r="F64" s="20"/>
      <c r="G64" s="20"/>
      <c r="H64" s="20"/>
      <c r="I64" s="20"/>
      <c r="J64" s="20"/>
      <c r="K64" s="20"/>
      <c r="L64" s="20"/>
      <c r="M64" s="20"/>
      <c r="N64" s="20"/>
    </row>
    <row r="65" spans="1:14" x14ac:dyDescent="0.2">
      <c r="A65" s="20"/>
      <c r="B65" s="20"/>
      <c r="C65" s="20"/>
      <c r="D65" s="20"/>
      <c r="E65" s="20"/>
      <c r="F65" s="20"/>
      <c r="G65" s="20"/>
      <c r="H65" s="20"/>
      <c r="I65" s="20"/>
      <c r="J65" s="20"/>
      <c r="K65" s="20"/>
      <c r="L65" s="20"/>
      <c r="M65" s="20"/>
      <c r="N65" s="20"/>
    </row>
    <row r="66" spans="1:14" x14ac:dyDescent="0.2">
      <c r="A66" s="20"/>
      <c r="B66" s="20"/>
      <c r="C66" s="20"/>
      <c r="D66" s="20"/>
      <c r="E66" s="20"/>
      <c r="F66" s="20"/>
      <c r="G66" s="20"/>
      <c r="H66" s="20"/>
      <c r="I66" s="20"/>
      <c r="J66" s="20"/>
      <c r="K66" s="20"/>
      <c r="L66" s="20"/>
      <c r="M66" s="20"/>
      <c r="N66" s="20"/>
    </row>
    <row r="67" spans="1:14" x14ac:dyDescent="0.2">
      <c r="A67" s="20"/>
      <c r="B67" s="20"/>
      <c r="C67" s="20"/>
      <c r="D67" s="20"/>
      <c r="E67" s="20"/>
      <c r="F67" s="20"/>
      <c r="G67" s="20"/>
      <c r="H67" s="20"/>
      <c r="I67" s="20"/>
      <c r="J67" s="20"/>
      <c r="K67" s="20"/>
      <c r="L67" s="20"/>
      <c r="M67" s="20"/>
      <c r="N67" s="20"/>
    </row>
    <row r="68" spans="1:14" x14ac:dyDescent="0.2">
      <c r="A68" s="20"/>
      <c r="B68" s="20"/>
      <c r="C68" s="20"/>
      <c r="D68" s="20"/>
      <c r="E68" s="20"/>
      <c r="F68" s="20"/>
      <c r="G68" s="20"/>
      <c r="H68" s="20"/>
      <c r="I68" s="20"/>
      <c r="J68" s="20"/>
      <c r="K68" s="20"/>
      <c r="L68" s="20"/>
      <c r="M68" s="20"/>
      <c r="N68" s="20"/>
    </row>
    <row r="69" spans="1:14" x14ac:dyDescent="0.2">
      <c r="A69" s="10"/>
      <c r="B69" s="10"/>
      <c r="C69" s="10"/>
      <c r="D69" s="10"/>
      <c r="E69" s="10"/>
      <c r="F69" s="10"/>
      <c r="G69" s="10"/>
      <c r="H69" s="10"/>
      <c r="I69" s="10"/>
      <c r="J69" s="10"/>
      <c r="K69" s="10"/>
      <c r="L69" s="10"/>
      <c r="M69" s="10"/>
      <c r="N69" s="10"/>
    </row>
    <row r="70" spans="1:14" x14ac:dyDescent="0.2">
      <c r="A70" s="10"/>
      <c r="B70" s="10"/>
      <c r="C70" s="10"/>
      <c r="D70" s="10"/>
      <c r="E70" s="10"/>
      <c r="F70" s="10"/>
      <c r="G70" s="10"/>
      <c r="H70" s="10"/>
      <c r="I70" s="10"/>
      <c r="J70" s="10"/>
      <c r="K70" s="10"/>
      <c r="L70" s="10"/>
      <c r="M70" s="10"/>
      <c r="N70" s="10"/>
    </row>
    <row r="71" spans="1:14" x14ac:dyDescent="0.2">
      <c r="A71" s="16" t="s">
        <v>243</v>
      </c>
      <c r="B71" s="16"/>
      <c r="C71" s="16"/>
      <c r="D71" s="16"/>
      <c r="E71" s="16"/>
      <c r="F71" s="16"/>
      <c r="G71" s="16"/>
      <c r="H71" s="16"/>
      <c r="I71" s="16"/>
      <c r="J71" s="16"/>
      <c r="K71" s="16"/>
      <c r="L71" s="16"/>
      <c r="M71" s="16"/>
      <c r="N71" s="16"/>
    </row>
    <row r="72" spans="1:14" x14ac:dyDescent="0.2">
      <c r="A72" s="21" t="s">
        <v>215</v>
      </c>
      <c r="B72" s="21" t="s">
        <v>216</v>
      </c>
      <c r="C72" s="21" t="s">
        <v>218</v>
      </c>
      <c r="D72" s="21" t="s">
        <v>220</v>
      </c>
      <c r="E72" s="21" t="s">
        <v>244</v>
      </c>
      <c r="F72" s="21" t="s">
        <v>245</v>
      </c>
      <c r="G72" s="21" t="s">
        <v>246</v>
      </c>
      <c r="H72" s="21" t="s">
        <v>247</v>
      </c>
      <c r="I72" s="21" t="s">
        <v>248</v>
      </c>
      <c r="J72" s="21" t="s">
        <v>249</v>
      </c>
      <c r="K72" s="10"/>
      <c r="L72" s="21" t="s">
        <v>250</v>
      </c>
      <c r="M72" s="21" t="s">
        <v>215</v>
      </c>
      <c r="N72" s="21" t="s">
        <v>251</v>
      </c>
    </row>
    <row r="73" spans="1:14" x14ac:dyDescent="0.2">
      <c r="A73" s="22" t="s">
        <v>10</v>
      </c>
      <c r="B73" s="23">
        <f>COUNT(Modelo_final_tipificado!C2:C77)</f>
        <v>76</v>
      </c>
      <c r="C73" s="23">
        <f>AVERAGE(Modelo_final_tipificado!C2:C77)</f>
        <v>71.352273471495394</v>
      </c>
      <c r="D73" s="23">
        <f>_xlfn.STDEV.S(Modelo_final_tipificado!C2:C77)</f>
        <v>7.9569011136234895</v>
      </c>
      <c r="E73" s="23">
        <f>MAX(Modelo_final_tipificado!C2:C77)-MIN(Modelo_final_tipificado!C2:C77)</f>
        <v>37.12299005078404</v>
      </c>
      <c r="F73" s="23">
        <f>(_xlfn.QUARTILE.INC(Modelo_final_tipificado!C2:C77,3)-_xlfn.QUARTILE.INC(Modelo_final_tipificado!C2:C77,1))</f>
        <v>10.665644152948587</v>
      </c>
      <c r="G73" s="23">
        <f>(_xlfn.QUARTILE.INC(Modelo_final_tipificado!C2:C77,1)-1.5*(_xlfn.QUARTILE.INC(Modelo_final_tipificado!C2:C77,3)-_xlfn.QUARTILE.INC(Modelo_final_tipificado!C2:C77,1)))</f>
        <v>50.714914677528533</v>
      </c>
      <c r="H73" s="23">
        <f>(_xlfn.QUARTILE.INC(Modelo_final_tipificado!C2:C77,3)+1.5*(_xlfn.QUARTILE.INC(Modelo_final_tipificado!C2:C77,3)-_xlfn.QUARTILE.INC(Modelo_final_tipificado!C2:C77,1)))</f>
        <v>93.377491289322876</v>
      </c>
      <c r="I73" s="23">
        <f>COUNTIF(Modelo_final_tipificado!C2:C77,"&lt;"&amp;(_xlfn.QUARTILE.INC(Modelo_final_tipificado!C2:C77,1)-1.5*(_xlfn.QUARTILE.INC(Modelo_final_tipificado!C2:C77,3)-_xlfn.QUARTILE.INC(Modelo_final_tipificado!C2:C77,1))))+COUNTIF(Modelo_final_tipificado!C2:C77,"&gt;"&amp;(_xlfn.QUARTILE.INC(Modelo_final_tipificado!C2:C77,3)+1.5*(_xlfn.QUARTILE.INC(Modelo_final_tipificado!C2:C77,3)-_xlfn.QUARTILE.INC(Modelo_final_tipificado!C2:C77,1))))</f>
        <v>2</v>
      </c>
      <c r="J73" s="22" t="str">
        <f>IF(I73=0,"Sin outliers IQR","Revisar outliers IQR")</f>
        <v>Revisar outliers IQR</v>
      </c>
      <c r="K73" s="10"/>
      <c r="L73" s="22" t="s">
        <v>252</v>
      </c>
      <c r="M73" s="22" t="s">
        <v>10</v>
      </c>
      <c r="N73" s="24">
        <f>I73</f>
        <v>2</v>
      </c>
    </row>
    <row r="74" spans="1:14" x14ac:dyDescent="0.2">
      <c r="A74" s="22" t="s">
        <v>164</v>
      </c>
      <c r="B74" s="23">
        <f>COUNT(Modelo_final_tipificado!D2:D77)</f>
        <v>76</v>
      </c>
      <c r="C74" s="23">
        <f>AVERAGE(Modelo_final_tipificado!D2:D77)</f>
        <v>74.709739562353548</v>
      </c>
      <c r="D74" s="23">
        <f>_xlfn.STDEV.S(Modelo_final_tipificado!D2:D77)</f>
        <v>7.3460838588457236</v>
      </c>
      <c r="E74" s="23">
        <f>MAX(Modelo_final_tipificado!D2:D77)-MIN(Modelo_final_tipificado!D2:D77)</f>
        <v>35.549615292224104</v>
      </c>
      <c r="F74" s="23">
        <f>(_xlfn.QUARTILE.INC(Modelo_final_tipificado!D2:D77,3)-_xlfn.QUARTILE.INC(Modelo_final_tipificado!D2:D77,1))</f>
        <v>9.3995608546733251</v>
      </c>
      <c r="G74" s="23">
        <f>(_xlfn.QUARTILE.INC(Modelo_final_tipificado!D2:D77,1)-1.5*(_xlfn.QUARTILE.INC(Modelo_final_tipificado!D2:D77,3)-_xlfn.QUARTILE.INC(Modelo_final_tipificado!D2:D77,1)))</f>
        <v>56.808569228756809</v>
      </c>
      <c r="H74" s="23">
        <f>(_xlfn.QUARTILE.INC(Modelo_final_tipificado!D2:D77,3)+1.5*(_xlfn.QUARTILE.INC(Modelo_final_tipificado!D2:D77,3)-_xlfn.QUARTILE.INC(Modelo_final_tipificado!D2:D77,1)))</f>
        <v>94.40681264745011</v>
      </c>
      <c r="I74" s="23">
        <f>COUNTIF(Modelo_final_tipificado!D2:D77,"&lt;"&amp;(_xlfn.QUARTILE.INC(Modelo_final_tipificado!D2:D77,1)-1.5*(_xlfn.QUARTILE.INC(Modelo_final_tipificado!D2:D77,3)-_xlfn.QUARTILE.INC(Modelo_final_tipificado!D2:D77,1))))+COUNTIF(Modelo_final_tipificado!D2:D77,"&gt;"&amp;(_xlfn.QUARTILE.INC(Modelo_final_tipificado!D2:D77,3)+1.5*(_xlfn.QUARTILE.INC(Modelo_final_tipificado!D2:D77,3)-_xlfn.QUARTILE.INC(Modelo_final_tipificado!D2:D77,1))))</f>
        <v>3</v>
      </c>
      <c r="J74" s="22" t="str">
        <f>IF(I74=0,"Sin outliers IQR","Revisar outliers IQR")</f>
        <v>Revisar outliers IQR</v>
      </c>
      <c r="K74" s="10"/>
      <c r="L74" s="22" t="s">
        <v>253</v>
      </c>
      <c r="M74" s="22" t="s">
        <v>164</v>
      </c>
      <c r="N74" s="24">
        <f>I74</f>
        <v>3</v>
      </c>
    </row>
    <row r="75" spans="1:14" x14ac:dyDescent="0.2">
      <c r="A75" s="22" t="s">
        <v>165</v>
      </c>
      <c r="B75" s="23">
        <f>COUNT(Modelo_final_tipificado!E2:E77)</f>
        <v>76</v>
      </c>
      <c r="C75" s="23">
        <f>AVERAGE(Modelo_final_tipificado!E2:E77)</f>
        <v>75.073932730257681</v>
      </c>
      <c r="D75" s="23">
        <f>_xlfn.STDEV.S(Modelo_final_tipificado!E2:E77)</f>
        <v>7.1530069251227868</v>
      </c>
      <c r="E75" s="23">
        <f>MAX(Modelo_final_tipificado!E2:E77)-MIN(Modelo_final_tipificado!E2:E77)</f>
        <v>35.973583781904388</v>
      </c>
      <c r="F75" s="23">
        <f>(_xlfn.QUARTILE.INC(Modelo_final_tipificado!E2:E77,3)-_xlfn.QUARTILE.INC(Modelo_final_tipificado!E2:E77,1))</f>
        <v>9.1088077244140635</v>
      </c>
      <c r="G75" s="23">
        <f>(_xlfn.QUARTILE.INC(Modelo_final_tipificado!E2:E77,1)-1.5*(_xlfn.QUARTILE.INC(Modelo_final_tipificado!E2:E77,3)-_xlfn.QUARTILE.INC(Modelo_final_tipificado!E2:E77,1)))</f>
        <v>57.873962897850738</v>
      </c>
      <c r="H75" s="23">
        <f>(_xlfn.QUARTILE.INC(Modelo_final_tipificado!E2:E77,3)+1.5*(_xlfn.QUARTILE.INC(Modelo_final_tipificado!E2:E77,3)-_xlfn.QUARTILE.INC(Modelo_final_tipificado!E2:E77,1)))</f>
        <v>94.309193795506985</v>
      </c>
      <c r="I75" s="23">
        <f>COUNTIF(Modelo_final_tipificado!E2:E77,"&lt;"&amp;(_xlfn.QUARTILE.INC(Modelo_final_tipificado!E2:E77,1)-1.5*(_xlfn.QUARTILE.INC(Modelo_final_tipificado!E2:E77,3)-_xlfn.QUARTILE.INC(Modelo_final_tipificado!E2:E77,1))))+COUNTIF(Modelo_final_tipificado!E2:E77,"&gt;"&amp;(_xlfn.QUARTILE.INC(Modelo_final_tipificado!E2:E77,3)+1.5*(_xlfn.QUARTILE.INC(Modelo_final_tipificado!E2:E77,3)-_xlfn.QUARTILE.INC(Modelo_final_tipificado!E2:E77,1))))</f>
        <v>3</v>
      </c>
      <c r="J75" s="22" t="str">
        <f>IF(I75=0,"Sin outliers IQR","Revisar outliers IQR")</f>
        <v>Revisar outliers IQR</v>
      </c>
      <c r="K75" s="10"/>
      <c r="L75" s="22" t="s">
        <v>254</v>
      </c>
      <c r="M75" s="22" t="s">
        <v>165</v>
      </c>
      <c r="N75" s="24">
        <f>I75</f>
        <v>3</v>
      </c>
    </row>
    <row r="76" spans="1:14" x14ac:dyDescent="0.2">
      <c r="A76" s="22" t="s">
        <v>166</v>
      </c>
      <c r="B76" s="23">
        <f>COUNT(Modelo_final_tipificado!F2:F77)</f>
        <v>76</v>
      </c>
      <c r="C76" s="23">
        <f>AVERAGE(Modelo_final_tipificado!F2:F77)</f>
        <v>0.36419316790415779</v>
      </c>
      <c r="D76" s="23">
        <f>_xlfn.STDEV.S(Modelo_final_tipificado!F2:F77)</f>
        <v>0.64127274633974085</v>
      </c>
      <c r="E76" s="23">
        <f>MAX(Modelo_final_tipificado!F2:F77)-MIN(Modelo_final_tipificado!F2:F77)</f>
        <v>4.152763511378339</v>
      </c>
      <c r="F76" s="23">
        <f>(_xlfn.QUARTILE.INC(Modelo_final_tipificado!F2:F77,3)-_xlfn.QUARTILE.INC(Modelo_final_tipificado!F2:F77,1))</f>
        <v>0.51590841238010299</v>
      </c>
      <c r="G76" s="23">
        <f>(_xlfn.QUARTILE.INC(Modelo_final_tipificado!F2:F77,1)-1.5*(_xlfn.QUARTILE.INC(Modelo_final_tipificado!F2:F77,3)-_xlfn.QUARTILE.INC(Modelo_final_tipificado!F2:F77,1)))</f>
        <v>-0.66463739150963086</v>
      </c>
      <c r="H76" s="23">
        <f>(_xlfn.QUARTILE.INC(Modelo_final_tipificado!F2:F77,3)+1.5*(_xlfn.QUARTILE.INC(Modelo_final_tipificado!F2:F77,3)-_xlfn.QUARTILE.INC(Modelo_final_tipificado!F2:F77,1)))</f>
        <v>1.3989962580107811</v>
      </c>
      <c r="I76" s="23">
        <f>COUNTIF(Modelo_final_tipificado!F2:F77,"&lt;"&amp;(_xlfn.QUARTILE.INC(Modelo_final_tipificado!F2:F77,1)-1.5*(_xlfn.QUARTILE.INC(Modelo_final_tipificado!F2:F77,3)-_xlfn.QUARTILE.INC(Modelo_final_tipificado!F2:F77,1))))+COUNTIF(Modelo_final_tipificado!F2:F77,"&gt;"&amp;(_xlfn.QUARTILE.INC(Modelo_final_tipificado!F2:F77,3)+1.5*(_xlfn.QUARTILE.INC(Modelo_final_tipificado!F2:F77,3)-_xlfn.QUARTILE.INC(Modelo_final_tipificado!F2:F77,1))))</f>
        <v>6</v>
      </c>
      <c r="J76" s="22" t="str">
        <f>IF(I76=0,"Sin outliers IQR","Revisar outliers IQR")</f>
        <v>Revisar outliers IQR</v>
      </c>
      <c r="K76" s="10"/>
      <c r="L76" s="22" t="s">
        <v>255</v>
      </c>
      <c r="M76" s="22" t="s">
        <v>166</v>
      </c>
      <c r="N76" s="24">
        <f>I76</f>
        <v>6</v>
      </c>
    </row>
    <row r="77" spans="1:14" x14ac:dyDescent="0.2">
      <c r="A77" s="22" t="s">
        <v>184</v>
      </c>
      <c r="B77" s="23">
        <f>COUNT(Modelo_final_tipificado!G2:G77)</f>
        <v>76</v>
      </c>
      <c r="C77" s="23">
        <f>AVERAGE(Modelo_final_tipificado!G2:G77)</f>
        <v>6.1354430308232334E-16</v>
      </c>
      <c r="D77" s="23">
        <f>_xlfn.STDEV.S(Modelo_final_tipificado!G2:G77)</f>
        <v>1.0066445913694333</v>
      </c>
      <c r="E77" s="23">
        <f>MAX(Modelo_final_tipificado!G2:G77)-MIN(Modelo_final_tipificado!G2:G77)</f>
        <v>4.81885294129588</v>
      </c>
      <c r="F77" s="23">
        <f>(_xlfn.QUARTILE.INC(Modelo_final_tipificado!G2:G77,3)-_xlfn.QUARTILE.INC(Modelo_final_tipificado!G2:G77,1))</f>
        <v>1.354720698642228</v>
      </c>
      <c r="G77" s="23">
        <f>(_xlfn.QUARTILE.INC(Modelo_final_tipificado!G2:G77,1)-1.5*(_xlfn.QUARTILE.INC(Modelo_final_tipificado!G2:G77,3)-_xlfn.QUARTILE.INC(Modelo_final_tipificado!G2:G77,1)))</f>
        <v>-2.6689567173006785</v>
      </c>
      <c r="H77" s="23">
        <f>(_xlfn.QUARTILE.INC(Modelo_final_tipificado!G2:G77,3)+1.5*(_xlfn.QUARTILE.INC(Modelo_final_tipificado!G2:G77,3)-_xlfn.QUARTILE.INC(Modelo_final_tipificado!G2:G77,1)))</f>
        <v>2.7499260772682335</v>
      </c>
      <c r="I77" s="23">
        <f>COUNTIF(Modelo_final_tipificado!G2:G77,"&lt;"&amp;(_xlfn.QUARTILE.INC(Modelo_final_tipificado!G2:G77,1)-1.5*(_xlfn.QUARTILE.INC(Modelo_final_tipificado!G2:G77,3)-_xlfn.QUARTILE.INC(Modelo_final_tipificado!G2:G77,1))))+COUNTIF(Modelo_final_tipificado!G2:G77,"&gt;"&amp;(_xlfn.QUARTILE.INC(Modelo_final_tipificado!G2:G77,3)+1.5*(_xlfn.QUARTILE.INC(Modelo_final_tipificado!G2:G77,3)-_xlfn.QUARTILE.INC(Modelo_final_tipificado!G2:G77,1))))</f>
        <v>1</v>
      </c>
      <c r="J77" s="22" t="str">
        <f>IF(I77=0,"Sin outliers IQR","Revisar outliers IQR")</f>
        <v>Revisar outliers IQR</v>
      </c>
      <c r="K77" s="10"/>
      <c r="L77" s="22" t="s">
        <v>256</v>
      </c>
      <c r="M77" s="22" t="s">
        <v>184</v>
      </c>
      <c r="N77" s="24">
        <f>I77</f>
        <v>1</v>
      </c>
    </row>
    <row r="78" spans="1:14" x14ac:dyDescent="0.2">
      <c r="A78" s="22" t="s">
        <v>185</v>
      </c>
      <c r="B78" s="23">
        <f>COUNT(Modelo_final_tipificado!H2:H77)</f>
        <v>76</v>
      </c>
      <c r="C78" s="23">
        <f>AVERAGE(Modelo_final_tipificado!H2:H77)</f>
        <v>2.6294755846385285E-17</v>
      </c>
      <c r="D78" s="23">
        <f>_xlfn.STDEV.S(Modelo_final_tipificado!H2:H77)</f>
        <v>1.0066445913694335</v>
      </c>
      <c r="E78" s="23">
        <f>MAX(Modelo_final_tipificado!H2:H77)-MIN(Modelo_final_tipificado!H2:H77)</f>
        <v>3.48229501367905</v>
      </c>
      <c r="F78" s="23">
        <f>(_xlfn.QUARTILE.INC(Modelo_final_tipificado!H2:H77,3)-_xlfn.QUARTILE.INC(Modelo_final_tipificado!H2:H77,1))</f>
        <v>1.699086765568055</v>
      </c>
      <c r="G78" s="23">
        <f>(_xlfn.QUARTILE.INC(Modelo_final_tipificado!H2:H77,1)-1.5*(_xlfn.QUARTILE.INC(Modelo_final_tipificado!H2:H77,3)-_xlfn.QUARTILE.INC(Modelo_final_tipificado!H2:H77,1)))</f>
        <v>-3.4606264921113477</v>
      </c>
      <c r="H78" s="23">
        <f>(_xlfn.QUARTILE.INC(Modelo_final_tipificado!H2:H77,3)+1.5*(_xlfn.QUARTILE.INC(Modelo_final_tipificado!H2:H77,3)-_xlfn.QUARTILE.INC(Modelo_final_tipificado!H2:H77,1)))</f>
        <v>3.3357205701608734</v>
      </c>
      <c r="I78" s="23">
        <f>COUNTIF(Modelo_final_tipificado!H2:H77,"&lt;"&amp;(_xlfn.QUARTILE.INC(Modelo_final_tipificado!H2:H77,1)-1.5*(_xlfn.QUARTILE.INC(Modelo_final_tipificado!H2:H77,3)-_xlfn.QUARTILE.INC(Modelo_final_tipificado!H2:H77,1))))+COUNTIF(Modelo_final_tipificado!H2:H77,"&gt;"&amp;(_xlfn.QUARTILE.INC(Modelo_final_tipificado!H2:H77,3)+1.5*(_xlfn.QUARTILE.INC(Modelo_final_tipificado!H2:H77,3)-_xlfn.QUARTILE.INC(Modelo_final_tipificado!H2:H77,1))))</f>
        <v>0</v>
      </c>
      <c r="J78" s="22" t="str">
        <f>IF(I78=0,"Sin outliers IQR","Revisar outliers IQR")</f>
        <v>Sin outliers IQR</v>
      </c>
      <c r="K78" s="10"/>
      <c r="L78" s="22" t="s">
        <v>257</v>
      </c>
      <c r="M78" s="22" t="s">
        <v>185</v>
      </c>
      <c r="N78" s="24">
        <f>I78</f>
        <v>0</v>
      </c>
    </row>
    <row r="79" spans="1:14" x14ac:dyDescent="0.2">
      <c r="A79" s="22" t="s">
        <v>186</v>
      </c>
      <c r="B79" s="23">
        <f>COUNT(Modelo_final_tipificado!I2:I77)</f>
        <v>75</v>
      </c>
      <c r="C79" s="23">
        <f>AVERAGE(Modelo_final_tipificado!I2:I77)</f>
        <v>8.8817841970012528E-17</v>
      </c>
      <c r="D79" s="23">
        <f>_xlfn.STDEV.S(Modelo_final_tipificado!I2:I77)</f>
        <v>1.0067340828210367</v>
      </c>
      <c r="E79" s="23">
        <f>MAX(Modelo_final_tipificado!I2:I77)-MIN(Modelo_final_tipificado!I2:I77)</f>
        <v>4.6909706017052129</v>
      </c>
      <c r="F79" s="23">
        <f>(_xlfn.QUARTILE.INC(Modelo_final_tipificado!I2:I77,3)-_xlfn.QUARTILE.INC(Modelo_final_tipificado!I2:I77,1))</f>
        <v>1.3404949162213664</v>
      </c>
      <c r="G79" s="23">
        <f>(_xlfn.QUARTILE.INC(Modelo_final_tipificado!I2:I77,1)-1.5*(_xlfn.QUARTILE.INC(Modelo_final_tipificado!I2:I77,3)-_xlfn.QUARTILE.INC(Modelo_final_tipificado!I2:I77,1)))</f>
        <v>-2.7505367106422836</v>
      </c>
      <c r="H79" s="23">
        <f>(_xlfn.QUARTILE.INC(Modelo_final_tipificado!I2:I77,3)+1.5*(_xlfn.QUARTILE.INC(Modelo_final_tipificado!I2:I77,3)-_xlfn.QUARTILE.INC(Modelo_final_tipificado!I2:I77,1)))</f>
        <v>2.6114429542431816</v>
      </c>
      <c r="I79" s="23">
        <f>COUNTIF(Modelo_final_tipificado!I2:I77,"&lt;"&amp;(_xlfn.QUARTILE.INC(Modelo_final_tipificado!I2:I77,1)-1.5*(_xlfn.QUARTILE.INC(Modelo_final_tipificado!I2:I77,3)-_xlfn.QUARTILE.INC(Modelo_final_tipificado!I2:I77,1))))+COUNTIF(Modelo_final_tipificado!I2:I77,"&gt;"&amp;(_xlfn.QUARTILE.INC(Modelo_final_tipificado!I2:I77,3)+1.5*(_xlfn.QUARTILE.INC(Modelo_final_tipificado!I2:I77,3)-_xlfn.QUARTILE.INC(Modelo_final_tipificado!I2:I77,1))))</f>
        <v>1</v>
      </c>
      <c r="J79" s="22" t="str">
        <f>IF(I79=0,"Sin outliers IQR","Revisar outliers IQR")</f>
        <v>Revisar outliers IQR</v>
      </c>
      <c r="K79" s="10"/>
      <c r="L79" s="22" t="s">
        <v>258</v>
      </c>
      <c r="M79" s="22" t="s">
        <v>186</v>
      </c>
      <c r="N79" s="24">
        <f>I79</f>
        <v>1</v>
      </c>
    </row>
    <row r="80" spans="1:14" x14ac:dyDescent="0.2">
      <c r="A80" s="22" t="s">
        <v>187</v>
      </c>
      <c r="B80" s="23">
        <f>COUNT(Modelo_final_tipificado!J2:J77)</f>
        <v>76</v>
      </c>
      <c r="C80" s="23">
        <f>AVERAGE(Modelo_final_tipificado!J2:J77)</f>
        <v>-7.3040988462181357E-17</v>
      </c>
      <c r="D80" s="23">
        <f>_xlfn.STDEV.S(Modelo_final_tipificado!J2:J77)</f>
        <v>1.0066445913694331</v>
      </c>
      <c r="E80" s="23">
        <f>MAX(Modelo_final_tipificado!J2:J77)-MIN(Modelo_final_tipificado!J2:J77)</f>
        <v>4.4939508687113978</v>
      </c>
      <c r="F80" s="23">
        <f>(_xlfn.QUARTILE.INC(Modelo_final_tipificado!J2:J77,3)-_xlfn.QUARTILE.INC(Modelo_final_tipificado!J2:J77,1))</f>
        <v>1.4437036372721517</v>
      </c>
      <c r="G80" s="23">
        <f>(_xlfn.QUARTILE.INC(Modelo_final_tipificado!J2:J77,1)-1.5*(_xlfn.QUARTILE.INC(Modelo_final_tipificado!J2:J77,3)-_xlfn.QUARTILE.INC(Modelo_final_tipificado!J2:J77,1)))</f>
        <v>-2.8157033543540511</v>
      </c>
      <c r="H80" s="23">
        <f>(_xlfn.QUARTILE.INC(Modelo_final_tipificado!J2:J77,3)+1.5*(_xlfn.QUARTILE.INC(Modelo_final_tipificado!J2:J77,3)-_xlfn.QUARTILE.INC(Modelo_final_tipificado!J2:J77,1)))</f>
        <v>2.9591111947345556</v>
      </c>
      <c r="I80" s="23">
        <f>COUNTIF(Modelo_final_tipificado!J2:J77,"&lt;"&amp;(_xlfn.QUARTILE.INC(Modelo_final_tipificado!J2:J77,1)-1.5*(_xlfn.QUARTILE.INC(Modelo_final_tipificado!J2:J77,3)-_xlfn.QUARTILE.INC(Modelo_final_tipificado!J2:J77,1))))+COUNTIF(Modelo_final_tipificado!J2:J77,"&gt;"&amp;(_xlfn.QUARTILE.INC(Modelo_final_tipificado!J2:J77,3)+1.5*(_xlfn.QUARTILE.INC(Modelo_final_tipificado!J2:J77,3)-_xlfn.QUARTILE.INC(Modelo_final_tipificado!J2:J77,1))))</f>
        <v>0</v>
      </c>
      <c r="J80" s="22" t="str">
        <f>IF(I80=0,"Sin outliers IQR","Revisar outliers IQR")</f>
        <v>Sin outliers IQR</v>
      </c>
      <c r="K80" s="10"/>
      <c r="L80" s="22" t="s">
        <v>259</v>
      </c>
      <c r="M80" s="22" t="s">
        <v>187</v>
      </c>
      <c r="N80" s="24">
        <f>I80</f>
        <v>0</v>
      </c>
    </row>
    <row r="81" spans="1:14" x14ac:dyDescent="0.2">
      <c r="A81" s="22" t="s">
        <v>188</v>
      </c>
      <c r="B81" s="23">
        <f>COUNT(Modelo_final_tipificado!K2:K77)</f>
        <v>75</v>
      </c>
      <c r="C81" s="23">
        <f>AVERAGE(Modelo_final_tipificado!K2:K77)</f>
        <v>-1.4802973661668753E-16</v>
      </c>
      <c r="D81" s="23">
        <f>_xlfn.STDEV.S(Modelo_final_tipificado!K2:K77)</f>
        <v>1.0067340828210365</v>
      </c>
      <c r="E81" s="23">
        <f>MAX(Modelo_final_tipificado!K2:K77)-MIN(Modelo_final_tipificado!K2:K77)</f>
        <v>4.2799144330467449</v>
      </c>
      <c r="F81" s="23">
        <f>(_xlfn.QUARTILE.INC(Modelo_final_tipificado!K2:K77,3)-_xlfn.QUARTILE.INC(Modelo_final_tipificado!K2:K77,1))</f>
        <v>1.3629259486176601</v>
      </c>
      <c r="G81" s="23">
        <f>(_xlfn.QUARTILE.INC(Modelo_final_tipificado!K2:K77,1)-1.5*(_xlfn.QUARTILE.INC(Modelo_final_tipificado!K2:K77,3)-_xlfn.QUARTILE.INC(Modelo_final_tipificado!K2:K77,1)))</f>
        <v>-2.7971040241594469</v>
      </c>
      <c r="H81" s="23">
        <f>(_xlfn.QUARTILE.INC(Modelo_final_tipificado!K2:K77,3)+1.5*(_xlfn.QUARTILE.INC(Modelo_final_tipificado!K2:K77,3)-_xlfn.QUARTILE.INC(Modelo_final_tipificado!K2:K77,1)))</f>
        <v>2.6545997703111941</v>
      </c>
      <c r="I81" s="23">
        <f>COUNTIF(Modelo_final_tipificado!K2:K77,"&lt;"&amp;(_xlfn.QUARTILE.INC(Modelo_final_tipificado!K2:K77,1)-1.5*(_xlfn.QUARTILE.INC(Modelo_final_tipificado!K2:K77,3)-_xlfn.QUARTILE.INC(Modelo_final_tipificado!K2:K77,1))))+COUNTIF(Modelo_final_tipificado!K2:K77,"&gt;"&amp;(_xlfn.QUARTILE.INC(Modelo_final_tipificado!K2:K77,3)+1.5*(_xlfn.QUARTILE.INC(Modelo_final_tipificado!K2:K77,3)-_xlfn.QUARTILE.INC(Modelo_final_tipificado!K2:K77,1))))</f>
        <v>1</v>
      </c>
      <c r="J81" s="22" t="str">
        <f>IF(I81=0,"Sin outliers IQR","Revisar outliers IQR")</f>
        <v>Revisar outliers IQR</v>
      </c>
      <c r="K81" s="10"/>
      <c r="L81" s="22" t="s">
        <v>260</v>
      </c>
      <c r="M81" s="22" t="s">
        <v>188</v>
      </c>
      <c r="N81" s="24">
        <f>I81</f>
        <v>1</v>
      </c>
    </row>
    <row r="82" spans="1:14" x14ac:dyDescent="0.2">
      <c r="A82" s="22" t="s">
        <v>189</v>
      </c>
      <c r="B82" s="23">
        <f>COUNT(Modelo_final_tipificado!L2:L77)</f>
        <v>76</v>
      </c>
      <c r="C82" s="23">
        <f>AVERAGE(Modelo_final_tipificado!L2:L77)</f>
        <v>1.3074336934730461E-16</v>
      </c>
      <c r="D82" s="23">
        <f>_xlfn.STDEV.S(Modelo_final_tipificado!L2:L77)</f>
        <v>1.0066445913694335</v>
      </c>
      <c r="E82" s="23">
        <f>MAX(Modelo_final_tipificado!L2:L77)-MIN(Modelo_final_tipificado!L2:L77)</f>
        <v>6.019748280073264</v>
      </c>
      <c r="F82" s="23">
        <f>(_xlfn.QUARTILE.INC(Modelo_final_tipificado!L2:L77,3)-_xlfn.QUARTILE.INC(Modelo_final_tipificado!L2:L77,1))</f>
        <v>0.96887996733481685</v>
      </c>
      <c r="G82" s="23">
        <f>(_xlfn.QUARTILE.INC(Modelo_final_tipificado!L2:L77,1)-1.5*(_xlfn.QUARTILE.INC(Modelo_final_tipificado!L2:L77,3)-_xlfn.QUARTILE.INC(Modelo_final_tipificado!L2:L77,1)))</f>
        <v>-2.0581232598077417</v>
      </c>
      <c r="H82" s="23">
        <f>(_xlfn.QUARTILE.INC(Modelo_final_tipificado!L2:L77,3)+1.5*(_xlfn.QUARTILE.INC(Modelo_final_tipificado!L2:L77,3)-_xlfn.QUARTILE.INC(Modelo_final_tipificado!L2:L77,1)))</f>
        <v>1.8173966095315257</v>
      </c>
      <c r="I82" s="23">
        <f>COUNTIF(Modelo_final_tipificado!L2:L77,"&lt;"&amp;(_xlfn.QUARTILE.INC(Modelo_final_tipificado!L2:L77,1)-1.5*(_xlfn.QUARTILE.INC(Modelo_final_tipificado!L2:L77,3)-_xlfn.QUARTILE.INC(Modelo_final_tipificado!L2:L77,1))))+COUNTIF(Modelo_final_tipificado!L2:L77,"&gt;"&amp;(_xlfn.QUARTILE.INC(Modelo_final_tipificado!L2:L77,3)+1.5*(_xlfn.QUARTILE.INC(Modelo_final_tipificado!L2:L77,3)-_xlfn.QUARTILE.INC(Modelo_final_tipificado!L2:L77,1))))</f>
        <v>3</v>
      </c>
      <c r="J82" s="22" t="str">
        <f>IF(I82=0,"Sin outliers IQR","Revisar outliers IQR")</f>
        <v>Revisar outliers IQR</v>
      </c>
      <c r="K82" s="10"/>
      <c r="L82" s="22" t="s">
        <v>261</v>
      </c>
      <c r="M82" s="22" t="s">
        <v>189</v>
      </c>
      <c r="N82" s="24">
        <f>I82</f>
        <v>3</v>
      </c>
    </row>
    <row r="83" spans="1:14" x14ac:dyDescent="0.2">
      <c r="A83" s="10"/>
      <c r="B83" s="10"/>
      <c r="C83" s="10"/>
      <c r="D83" s="10"/>
      <c r="E83" s="10"/>
      <c r="F83" s="10"/>
      <c r="G83" s="10"/>
      <c r="H83" s="10"/>
      <c r="I83" s="10"/>
      <c r="J83" s="10"/>
      <c r="K83" s="10"/>
      <c r="L83" s="10"/>
      <c r="M83" s="10"/>
      <c r="N83" s="10"/>
    </row>
    <row r="84" spans="1:14" x14ac:dyDescent="0.2">
      <c r="A84" s="10"/>
      <c r="B84" s="10"/>
      <c r="C84" s="10"/>
      <c r="D84" s="10"/>
      <c r="E84" s="10"/>
      <c r="F84" s="10"/>
      <c r="G84" s="10"/>
      <c r="H84" s="10"/>
      <c r="I84" s="10"/>
      <c r="J84" s="10"/>
      <c r="K84" s="10"/>
      <c r="L84" s="10"/>
      <c r="M84" s="10"/>
      <c r="N84" s="10"/>
    </row>
    <row r="85" spans="1:14" x14ac:dyDescent="0.2">
      <c r="A85" s="16" t="s">
        <v>262</v>
      </c>
      <c r="B85" s="16"/>
      <c r="C85" s="16"/>
      <c r="D85" s="16"/>
      <c r="E85" s="16"/>
      <c r="F85" s="16"/>
      <c r="G85" s="16"/>
      <c r="H85" s="16"/>
      <c r="I85" s="16"/>
      <c r="J85" s="16"/>
      <c r="K85" s="16"/>
      <c r="L85" s="16"/>
      <c r="M85" s="16"/>
      <c r="N85" s="16"/>
    </row>
    <row r="86" spans="1:14" x14ac:dyDescent="0.2">
      <c r="A86" s="20" t="s">
        <v>263</v>
      </c>
      <c r="B86" s="20"/>
      <c r="C86" s="20"/>
      <c r="D86" s="20"/>
      <c r="E86" s="20"/>
      <c r="F86" s="20"/>
      <c r="G86" s="20"/>
      <c r="H86" s="20"/>
      <c r="I86" s="20"/>
      <c r="J86" s="20"/>
      <c r="K86" s="20"/>
      <c r="L86" s="20"/>
      <c r="M86" s="20"/>
      <c r="N86" s="20"/>
    </row>
    <row r="87" spans="1:14" x14ac:dyDescent="0.2">
      <c r="A87" s="20"/>
      <c r="B87" s="20"/>
      <c r="C87" s="20"/>
      <c r="D87" s="20"/>
      <c r="E87" s="20"/>
      <c r="F87" s="20"/>
      <c r="G87" s="20"/>
      <c r="H87" s="20"/>
      <c r="I87" s="20"/>
      <c r="J87" s="20"/>
      <c r="K87" s="20"/>
      <c r="L87" s="20"/>
      <c r="M87" s="20"/>
      <c r="N87" s="20"/>
    </row>
    <row r="88" spans="1:14" x14ac:dyDescent="0.2">
      <c r="A88" s="20"/>
      <c r="B88" s="20"/>
      <c r="C88" s="20"/>
      <c r="D88" s="20"/>
      <c r="E88" s="20"/>
      <c r="F88" s="20"/>
      <c r="G88" s="20"/>
      <c r="H88" s="20"/>
      <c r="I88" s="20"/>
      <c r="J88" s="20"/>
      <c r="K88" s="20"/>
      <c r="L88" s="20"/>
      <c r="M88" s="20"/>
      <c r="N88" s="20"/>
    </row>
    <row r="89" spans="1:14" x14ac:dyDescent="0.2">
      <c r="A89" s="20"/>
      <c r="B89" s="20"/>
      <c r="C89" s="20"/>
      <c r="D89" s="20"/>
      <c r="E89" s="20"/>
      <c r="F89" s="20"/>
      <c r="G89" s="20"/>
      <c r="H89" s="20"/>
      <c r="I89" s="20"/>
      <c r="J89" s="20"/>
      <c r="K89" s="20"/>
      <c r="L89" s="20"/>
      <c r="M89" s="20"/>
      <c r="N89" s="20"/>
    </row>
    <row r="90" spans="1:14" x14ac:dyDescent="0.2">
      <c r="A90" s="20"/>
      <c r="B90" s="20"/>
      <c r="C90" s="20"/>
      <c r="D90" s="20"/>
      <c r="E90" s="20"/>
      <c r="F90" s="20"/>
      <c r="G90" s="20"/>
      <c r="H90" s="20"/>
      <c r="I90" s="20"/>
      <c r="J90" s="20"/>
      <c r="K90" s="20"/>
      <c r="L90" s="20"/>
      <c r="M90" s="20"/>
      <c r="N90" s="20"/>
    </row>
    <row r="93" spans="1:14" x14ac:dyDescent="0.2">
      <c r="A93" s="18" t="s">
        <v>264</v>
      </c>
      <c r="B93" s="17"/>
      <c r="C93" s="17"/>
      <c r="D93" s="17"/>
      <c r="E93" s="17"/>
      <c r="F93" s="17"/>
      <c r="G93" s="17"/>
      <c r="H93" s="17"/>
      <c r="I93" s="17"/>
      <c r="J93" s="17"/>
      <c r="K93" s="17"/>
      <c r="L93" s="17"/>
      <c r="M93" s="17"/>
      <c r="N93" s="17"/>
    </row>
    <row r="94" spans="1:14" x14ac:dyDescent="0.2">
      <c r="A94" s="19" t="s">
        <v>265</v>
      </c>
      <c r="B94" s="19"/>
      <c r="C94" s="19"/>
      <c r="D94" s="19"/>
      <c r="E94" s="19"/>
      <c r="F94" s="19"/>
      <c r="G94" s="19"/>
      <c r="H94" s="19"/>
      <c r="I94" s="19"/>
      <c r="J94" s="19"/>
      <c r="K94" s="19"/>
      <c r="L94" s="19"/>
      <c r="M94" s="19"/>
      <c r="N94" s="19"/>
    </row>
    <row r="95" spans="1:14" x14ac:dyDescent="0.2">
      <c r="A95" s="19"/>
      <c r="B95" s="19"/>
      <c r="C95" s="19"/>
      <c r="D95" s="19"/>
      <c r="E95" s="19"/>
      <c r="F95" s="19"/>
      <c r="G95" s="19"/>
      <c r="H95" s="19"/>
      <c r="I95" s="19"/>
      <c r="J95" s="19"/>
      <c r="K95" s="19"/>
      <c r="L95" s="19"/>
      <c r="M95" s="19"/>
      <c r="N95" s="19"/>
    </row>
    <row r="96" spans="1:14" x14ac:dyDescent="0.2">
      <c r="A96" s="19"/>
      <c r="B96" s="19"/>
      <c r="C96" s="19"/>
      <c r="D96" s="19"/>
      <c r="E96" s="19"/>
      <c r="F96" s="19"/>
      <c r="G96" s="19"/>
      <c r="H96" s="19"/>
      <c r="I96" s="19"/>
      <c r="J96" s="19"/>
      <c r="K96" s="19"/>
      <c r="L96" s="19"/>
      <c r="M96" s="19"/>
      <c r="N96" s="19"/>
    </row>
    <row r="98" spans="1:11" x14ac:dyDescent="0.2">
      <c r="A98" s="25" t="s">
        <v>10</v>
      </c>
      <c r="B98" s="25" t="s">
        <v>164</v>
      </c>
      <c r="C98" s="25" t="s">
        <v>165</v>
      </c>
      <c r="D98" s="25" t="s">
        <v>166</v>
      </c>
      <c r="E98" s="25"/>
      <c r="F98" s="25" t="s">
        <v>184</v>
      </c>
      <c r="G98" s="25" t="s">
        <v>185</v>
      </c>
      <c r="H98" s="25" t="s">
        <v>186</v>
      </c>
      <c r="I98" s="25" t="s">
        <v>187</v>
      </c>
      <c r="J98" s="25" t="s">
        <v>188</v>
      </c>
      <c r="K98" s="25" t="s">
        <v>189</v>
      </c>
    </row>
    <row r="99" spans="1:11" x14ac:dyDescent="0.2">
      <c r="A99" s="26">
        <f>Modelo_final_tipificado!C2</f>
        <v>71.286360007350041</v>
      </c>
      <c r="B99" s="26">
        <f>Modelo_final_tipificado!D2</f>
        <v>74.298191176470596</v>
      </c>
      <c r="C99" s="26">
        <f>Modelo_final_tipificado!E2</f>
        <v>74.836351381461682</v>
      </c>
      <c r="D99" s="26">
        <f>Modelo_final_tipificado!F2</f>
        <v>0.53816020499108674</v>
      </c>
      <c r="E99" s="26"/>
      <c r="F99" s="26">
        <f>Modelo_final_tipificado!G2</f>
        <v>0.16956149923549901</v>
      </c>
      <c r="G99" s="26">
        <f>Modelo_final_tipificado!H2</f>
        <v>-0.59729523737330592</v>
      </c>
      <c r="H99" s="26">
        <f>Modelo_final_tipificado!I2</f>
        <v>0.19848777160394651</v>
      </c>
      <c r="I99" s="26">
        <f>Modelo_final_tipificado!J2</f>
        <v>-0.45423348743065978</v>
      </c>
      <c r="J99" s="26">
        <f>Modelo_final_tipificado!K2</f>
        <v>-0.59636584558802419</v>
      </c>
      <c r="K99" s="26">
        <f>Modelo_final_tipificado!L2</f>
        <v>-1.029731548641373</v>
      </c>
    </row>
    <row r="100" spans="1:11" x14ac:dyDescent="0.2">
      <c r="A100" s="26">
        <f>Modelo_final_tipificado!C3</f>
        <v>70.749834053706707</v>
      </c>
      <c r="B100" s="26">
        <f>Modelo_final_tipificado!D3</f>
        <v>73.909823511904762</v>
      </c>
      <c r="C100" s="26">
        <f>Modelo_final_tipificado!E3</f>
        <v>74.253555833545548</v>
      </c>
      <c r="D100" s="26">
        <f>Modelo_final_tipificado!F3</f>
        <v>0.34373232164078621</v>
      </c>
      <c r="E100" s="26"/>
      <c r="F100" s="26">
        <f>Modelo_final_tipificado!G3</f>
        <v>-0.77298977309322314</v>
      </c>
      <c r="G100" s="26">
        <f>Modelo_final_tipificado!H3</f>
        <v>-0.71308066060946274</v>
      </c>
      <c r="H100" s="26">
        <f>Modelo_final_tipificado!I3</f>
        <v>-1.500849409688513</v>
      </c>
      <c r="I100" s="26">
        <f>Modelo_final_tipificado!J3</f>
        <v>6.8569353034507494E-2</v>
      </c>
      <c r="J100" s="26">
        <f>Modelo_final_tipificado!K3</f>
        <v>-0.86594162617094861</v>
      </c>
      <c r="K100" s="26">
        <f>Modelo_final_tipificado!L3</f>
        <v>-0.31015024210368319</v>
      </c>
    </row>
    <row r="101" spans="1:11" x14ac:dyDescent="0.2">
      <c r="A101" s="26">
        <f>Modelo_final_tipificado!C4</f>
        <v>82.383104864611397</v>
      </c>
      <c r="B101" s="26">
        <f>Modelo_final_tipificado!D4</f>
        <v>84.331370770375457</v>
      </c>
      <c r="C101" s="26">
        <f>Modelo_final_tipificado!E4</f>
        <v>83.012913138250667</v>
      </c>
      <c r="D101" s="26">
        <f>Modelo_final_tipificado!F4</f>
        <v>-1.3184576321247901</v>
      </c>
      <c r="E101" s="26"/>
      <c r="F101" s="26">
        <f>Modelo_final_tipificado!G4</f>
        <v>1.0998578101459831</v>
      </c>
      <c r="G101" s="26">
        <f>Modelo_final_tipificado!H4</f>
        <v>1.3033074066798469</v>
      </c>
      <c r="H101" s="26">
        <f>Modelo_final_tipificado!I4</f>
        <v>0.7152076676165946</v>
      </c>
      <c r="I101" s="26">
        <f>Modelo_final_tipificado!J4</f>
        <v>1.094564229069354</v>
      </c>
      <c r="J101" s="26">
        <f>Modelo_final_tipificado!K4</f>
        <v>1.558838838127574</v>
      </c>
      <c r="K101" s="26">
        <f>Modelo_final_tipificado!L4</f>
        <v>0.15884055672268041</v>
      </c>
    </row>
    <row r="102" spans="1:11" x14ac:dyDescent="0.2">
      <c r="A102" s="26">
        <f>Modelo_final_tipificado!C5</f>
        <v>68.71313283955628</v>
      </c>
      <c r="B102" s="26">
        <f>Modelo_final_tipificado!D5</f>
        <v>73.028039508928572</v>
      </c>
      <c r="C102" s="26">
        <f>Modelo_final_tipificado!E5</f>
        <v>72.900156066972258</v>
      </c>
      <c r="D102" s="26">
        <f>Modelo_final_tipificado!F5</f>
        <v>-0.12788344195631399</v>
      </c>
      <c r="E102" s="26"/>
      <c r="F102" s="26">
        <f>Modelo_final_tipificado!G5</f>
        <v>-0.35859868677159951</v>
      </c>
      <c r="G102" s="26">
        <f>Modelo_final_tipificado!H5</f>
        <v>-1.080750027679503</v>
      </c>
      <c r="H102" s="26">
        <f>Modelo_final_tipificado!I5</f>
        <v>-1.289280589283111</v>
      </c>
      <c r="I102" s="26">
        <f>Modelo_final_tipificado!J5</f>
        <v>-0.31320991455948588</v>
      </c>
      <c r="J102" s="26">
        <f>Modelo_final_tipificado!K5</f>
        <v>-0.87325280103766878</v>
      </c>
      <c r="K102" s="26">
        <f>Modelo_final_tipificado!L5</f>
        <v>-5.741193174255714E-2</v>
      </c>
    </row>
    <row r="103" spans="1:11" x14ac:dyDescent="0.2">
      <c r="A103" s="26">
        <f>Modelo_final_tipificado!C6</f>
        <v>57.639983572933303</v>
      </c>
      <c r="B103" s="26">
        <f>Modelo_final_tipificado!D6</f>
        <v>63.242468954248373</v>
      </c>
      <c r="C103" s="26">
        <f>Modelo_final_tipificado!E6</f>
        <v>63.882218606230389</v>
      </c>
      <c r="D103" s="26">
        <f>Modelo_final_tipificado!F6</f>
        <v>0.63974965198201517</v>
      </c>
      <c r="E103" s="26"/>
      <c r="F103" s="26">
        <f>Modelo_final_tipificado!G6</f>
        <v>-1.7436283836242541</v>
      </c>
      <c r="G103" s="26">
        <f>Modelo_final_tipificado!H6</f>
        <v>-1.3259444615341669</v>
      </c>
      <c r="H103" s="26">
        <f>Modelo_final_tipificado!I6</f>
        <v>-2.075549102389536</v>
      </c>
      <c r="I103" s="26">
        <f>Modelo_final_tipificado!J6</f>
        <v>-1.975251925161096</v>
      </c>
      <c r="J103" s="26">
        <f>Modelo_final_tipificado!K6</f>
        <v>0</v>
      </c>
      <c r="K103" s="26">
        <f>Modelo_final_tipificado!L6</f>
        <v>-0.97864498671735156</v>
      </c>
    </row>
    <row r="104" spans="1:11" x14ac:dyDescent="0.2">
      <c r="A104" s="26">
        <f>Modelo_final_tipificado!C7</f>
        <v>76.601243090195794</v>
      </c>
      <c r="B104" s="26">
        <f>Modelo_final_tipificado!D7</f>
        <v>79.43371541756855</v>
      </c>
      <c r="C104" s="26">
        <f>Modelo_final_tipificado!E7</f>
        <v>78.465706642050776</v>
      </c>
      <c r="D104" s="26">
        <f>Modelo_final_tipificado!F7</f>
        <v>-0.96800877551777376</v>
      </c>
      <c r="E104" s="26"/>
      <c r="F104" s="26">
        <f>Modelo_final_tipificado!G7</f>
        <v>-2.2587757143953429E-2</v>
      </c>
      <c r="G104" s="26">
        <f>Modelo_final_tipificado!H7</f>
        <v>-1.4288937019053749</v>
      </c>
      <c r="H104" s="26">
        <f>Modelo_final_tipificado!I7</f>
        <v>0.4253645473556375</v>
      </c>
      <c r="I104" s="26">
        <f>Modelo_final_tipificado!J7</f>
        <v>0.5804048154290562</v>
      </c>
      <c r="J104" s="26">
        <f>Modelo_final_tipificado!K7</f>
        <v>-0.47539666806719261</v>
      </c>
      <c r="K104" s="26">
        <f>Modelo_final_tipificado!L7</f>
        <v>0.70336050519096993</v>
      </c>
    </row>
    <row r="105" spans="1:11" x14ac:dyDescent="0.2">
      <c r="A105" s="26">
        <f>Modelo_final_tipificado!C8</f>
        <v>77.073346196495123</v>
      </c>
      <c r="B105" s="26">
        <f>Modelo_final_tipificado!D8</f>
        <v>80.370938880400658</v>
      </c>
      <c r="C105" s="26">
        <f>Modelo_final_tipificado!E8</f>
        <v>80.673855105678626</v>
      </c>
      <c r="D105" s="26">
        <f>Modelo_final_tipificado!F8</f>
        <v>0.30291622527796852</v>
      </c>
      <c r="E105" s="26"/>
      <c r="F105" s="26">
        <f>Modelo_final_tipificado!G8</f>
        <v>1.0313525241070669</v>
      </c>
      <c r="G105" s="26">
        <f>Modelo_final_tipificado!H8</f>
        <v>1.167021709608941</v>
      </c>
      <c r="H105" s="26">
        <f>Modelo_final_tipificado!I8</f>
        <v>1.4856465895543181</v>
      </c>
      <c r="I105" s="26">
        <f>Modelo_final_tipificado!J8</f>
        <v>0.29999386737897898</v>
      </c>
      <c r="J105" s="26">
        <f>Modelo_final_tipificado!K8</f>
        <v>1.183791979291414</v>
      </c>
      <c r="K105" s="26">
        <f>Modelo_final_tipificado!L8</f>
        <v>1.121843881774041</v>
      </c>
    </row>
    <row r="106" spans="1:11" x14ac:dyDescent="0.2">
      <c r="A106" s="26">
        <f>Modelo_final_tipificado!C9</f>
        <v>70.597983906289798</v>
      </c>
      <c r="B106" s="26">
        <f>Modelo_final_tipificado!D9</f>
        <v>73.498815056022423</v>
      </c>
      <c r="C106" s="26">
        <f>Modelo_final_tipificado!E9</f>
        <v>73.75069509803923</v>
      </c>
      <c r="D106" s="26">
        <f>Modelo_final_tipificado!F9</f>
        <v>0.25188004201680769</v>
      </c>
      <c r="E106" s="26"/>
      <c r="F106" s="26">
        <f>Modelo_final_tipificado!G9</f>
        <v>-0.62841492116669484</v>
      </c>
      <c r="G106" s="26">
        <f>Modelo_final_tipificado!H9</f>
        <v>-1.279387121111297</v>
      </c>
      <c r="H106" s="26">
        <f>Modelo_final_tipificado!I9</f>
        <v>-0.81054024401862201</v>
      </c>
      <c r="I106" s="26">
        <f>Modelo_final_tipificado!J9</f>
        <v>-0.61218954604690379</v>
      </c>
      <c r="J106" s="26">
        <f>Modelo_final_tipificado!K9</f>
        <v>-0.96254393524950077</v>
      </c>
      <c r="K106" s="26">
        <f>Modelo_final_tipificado!L9</f>
        <v>-7.1076858275352969E-2</v>
      </c>
    </row>
    <row r="107" spans="1:11" x14ac:dyDescent="0.2">
      <c r="A107" s="26">
        <f>Modelo_final_tipificado!C10</f>
        <v>70.417480741525253</v>
      </c>
      <c r="B107" s="26">
        <f>Modelo_final_tipificado!D10</f>
        <v>72.727047871572893</v>
      </c>
      <c r="C107" s="26">
        <f>Modelo_final_tipificado!E10</f>
        <v>73.812205336983283</v>
      </c>
      <c r="D107" s="26">
        <f>Modelo_final_tipificado!F10</f>
        <v>1.0851574654103899</v>
      </c>
      <c r="E107" s="26"/>
      <c r="F107" s="26">
        <f>Modelo_final_tipificado!G10</f>
        <v>-0.29238723899925928</v>
      </c>
      <c r="G107" s="26">
        <f>Modelo_final_tipificado!H10</f>
        <v>-0.71797646390515413</v>
      </c>
      <c r="H107" s="26">
        <f>Modelo_final_tipificado!I10</f>
        <v>0.6013698211407551</v>
      </c>
      <c r="I107" s="26">
        <f>Modelo_final_tipificado!J10</f>
        <v>-0.291313175902011</v>
      </c>
      <c r="J107" s="26">
        <f>Modelo_final_tipificado!K10</f>
        <v>1.4920160747877539E-2</v>
      </c>
      <c r="K107" s="26">
        <f>Modelo_final_tipificado!L10</f>
        <v>-1.1390400888127521</v>
      </c>
    </row>
    <row r="108" spans="1:11" x14ac:dyDescent="0.2">
      <c r="A108" s="26">
        <f>Modelo_final_tipificado!C11</f>
        <v>72.99846667939903</v>
      </c>
      <c r="B108" s="26">
        <f>Modelo_final_tipificado!D11</f>
        <v>75.953734243697482</v>
      </c>
      <c r="C108" s="26">
        <f>Modelo_final_tipificado!E11</f>
        <v>76.30265259103642</v>
      </c>
      <c r="D108" s="26">
        <f>Modelo_final_tipificado!F11</f>
        <v>0.34891834733893751</v>
      </c>
      <c r="E108" s="26"/>
      <c r="F108" s="26">
        <f>Modelo_final_tipificado!G11</f>
        <v>-1.35590373583876E-2</v>
      </c>
      <c r="G108" s="26">
        <f>Modelo_final_tipificado!H11</f>
        <v>-0.4986862546113448</v>
      </c>
      <c r="H108" s="26">
        <f>Modelo_final_tipificado!I11</f>
        <v>-0.47634947797585248</v>
      </c>
      <c r="I108" s="26">
        <f>Modelo_final_tipificado!J11</f>
        <v>-8.7949196099529739E-2</v>
      </c>
      <c r="J108" s="26">
        <f>Modelo_final_tipificado!K11</f>
        <v>-0.49703224793683731</v>
      </c>
      <c r="K108" s="26">
        <f>Modelo_final_tipificado!L11</f>
        <v>0.35601290850490919</v>
      </c>
    </row>
    <row r="109" spans="1:11" x14ac:dyDescent="0.2">
      <c r="A109" s="26">
        <f>Modelo_final_tipificado!C12</f>
        <v>77.374365880153718</v>
      </c>
      <c r="B109" s="26">
        <f>Modelo_final_tipificado!D12</f>
        <v>79.037149011119595</v>
      </c>
      <c r="C109" s="26">
        <f>Modelo_final_tipificado!E12</f>
        <v>79.168558810797037</v>
      </c>
      <c r="D109" s="26">
        <f>Modelo_final_tipificado!F12</f>
        <v>0.13140979967744221</v>
      </c>
      <c r="E109" s="26"/>
      <c r="F109" s="26">
        <f>Modelo_final_tipificado!G12</f>
        <v>0.98218321085308069</v>
      </c>
      <c r="G109" s="26">
        <f>Modelo_final_tipificado!H12</f>
        <v>1.425440194647712</v>
      </c>
      <c r="H109" s="26">
        <f>Modelo_final_tipificado!I12</f>
        <v>0.26244378983569538</v>
      </c>
      <c r="I109" s="26">
        <f>Modelo_final_tipificado!J12</f>
        <v>0.71687962193258525</v>
      </c>
      <c r="J109" s="26">
        <f>Modelo_final_tipificado!K12</f>
        <v>0.73375889704948294</v>
      </c>
      <c r="K109" s="26">
        <f>Modelo_final_tipificado!L12</f>
        <v>-0.42085156694275377</v>
      </c>
    </row>
    <row r="110" spans="1:11" x14ac:dyDescent="0.2">
      <c r="A110" s="26">
        <f>Modelo_final_tipificado!C13</f>
        <v>74.600733897222796</v>
      </c>
      <c r="B110" s="26">
        <f>Modelo_final_tipificado!D13</f>
        <v>77.805213891010951</v>
      </c>
      <c r="C110" s="26">
        <f>Modelo_final_tipificado!E13</f>
        <v>78.051832569391379</v>
      </c>
      <c r="D110" s="26">
        <f>Modelo_final_tipificado!F13</f>
        <v>0.24661867838042889</v>
      </c>
      <c r="E110" s="26"/>
      <c r="F110" s="26">
        <f>Modelo_final_tipificado!G13</f>
        <v>0.10260199996284181</v>
      </c>
      <c r="G110" s="26">
        <f>Modelo_final_tipificado!H13</f>
        <v>0.59313860850715383</v>
      </c>
      <c r="H110" s="26">
        <f>Modelo_final_tipificado!I13</f>
        <v>-0.14671395707700291</v>
      </c>
      <c r="I110" s="26">
        <f>Modelo_final_tipificado!J13</f>
        <v>-0.33014011393466919</v>
      </c>
      <c r="J110" s="26">
        <f>Modelo_final_tipificado!K13</f>
        <v>-0.74628735394791601</v>
      </c>
      <c r="K110" s="26">
        <f>Modelo_final_tipificado!L13</f>
        <v>-0.44583929682131251</v>
      </c>
    </row>
    <row r="111" spans="1:11" x14ac:dyDescent="0.2">
      <c r="A111" s="26">
        <f>Modelo_final_tipificado!C14</f>
        <v>66.825083120229451</v>
      </c>
      <c r="B111" s="26">
        <f>Modelo_final_tipificado!D14</f>
        <v>73.985571236443292</v>
      </c>
      <c r="C111" s="26">
        <f>Modelo_final_tipificado!E14</f>
        <v>74.392781101414926</v>
      </c>
      <c r="D111" s="26">
        <f>Modelo_final_tipificado!F14</f>
        <v>0.40720986497163381</v>
      </c>
      <c r="E111" s="26"/>
      <c r="F111" s="26">
        <f>Modelo_final_tipificado!G14</f>
        <v>-0.73614121147769462</v>
      </c>
      <c r="G111" s="26">
        <f>Modelo_final_tipificado!H14</f>
        <v>-0.28666160869578072</v>
      </c>
      <c r="H111" s="26">
        <f>Modelo_final_tipificado!I14</f>
        <v>0</v>
      </c>
      <c r="I111" s="26">
        <f>Modelo_final_tipificado!J14</f>
        <v>1.3980316374052231</v>
      </c>
      <c r="J111" s="26">
        <f>Modelo_final_tipificado!K14</f>
        <v>0.58442212594523113</v>
      </c>
      <c r="K111" s="26">
        <f>Modelo_final_tipificado!L14</f>
        <v>-0.79769764353745298</v>
      </c>
    </row>
    <row r="112" spans="1:11" x14ac:dyDescent="0.2">
      <c r="A112" s="26">
        <f>Modelo_final_tipificado!C15</f>
        <v>67.053078987063145</v>
      </c>
      <c r="B112" s="26">
        <f>Modelo_final_tipificado!D15</f>
        <v>69.374691683643164</v>
      </c>
      <c r="C112" s="26">
        <f>Modelo_final_tipificado!E15</f>
        <v>70.455097283762001</v>
      </c>
      <c r="D112" s="26">
        <f>Modelo_final_tipificado!F15</f>
        <v>1.0804056001188369</v>
      </c>
      <c r="E112" s="26"/>
      <c r="F112" s="26">
        <f>Modelo_final_tipificado!G15</f>
        <v>-0.47385719684659589</v>
      </c>
      <c r="G112" s="26">
        <f>Modelo_final_tipificado!H15</f>
        <v>-0.63554739836585505</v>
      </c>
      <c r="H112" s="26">
        <f>Modelo_final_tipificado!I15</f>
        <v>-0.17470336898144201</v>
      </c>
      <c r="I112" s="26">
        <f>Modelo_final_tipificado!J15</f>
        <v>-1.087203871858375</v>
      </c>
      <c r="J112" s="26">
        <f>Modelo_final_tipificado!K15</f>
        <v>-0.88180546610492239</v>
      </c>
      <c r="K112" s="26">
        <f>Modelo_final_tipificado!L15</f>
        <v>-0.96172288636049119</v>
      </c>
    </row>
    <row r="113" spans="1:11" x14ac:dyDescent="0.2">
      <c r="A113" s="26">
        <f>Modelo_final_tipificado!C16</f>
        <v>70.049894415893078</v>
      </c>
      <c r="B113" s="26">
        <f>Modelo_final_tipificado!D16</f>
        <v>72.995214529751294</v>
      </c>
      <c r="C113" s="26">
        <f>Modelo_final_tipificado!E16</f>
        <v>73.443679982599093</v>
      </c>
      <c r="D113" s="26">
        <f>Modelo_final_tipificado!F16</f>
        <v>0.44846545284779887</v>
      </c>
      <c r="E113" s="26"/>
      <c r="F113" s="26">
        <f>Modelo_final_tipificado!G16</f>
        <v>-0.16720789995992549</v>
      </c>
      <c r="G113" s="26">
        <f>Modelo_final_tipificado!H16</f>
        <v>-0.19506563638382171</v>
      </c>
      <c r="H113" s="26">
        <f>Modelo_final_tipificado!I16</f>
        <v>1.1040047095613621</v>
      </c>
      <c r="I113" s="26">
        <f>Modelo_final_tipificado!J16</f>
        <v>-1.224497103448855</v>
      </c>
      <c r="J113" s="26">
        <f>Modelo_final_tipificado!K16</f>
        <v>-0.67690345599089974</v>
      </c>
      <c r="K113" s="26">
        <f>Modelo_final_tipificado!L16</f>
        <v>-0.29800318377619972</v>
      </c>
    </row>
    <row r="114" spans="1:11" x14ac:dyDescent="0.2">
      <c r="A114" s="26">
        <f>Modelo_final_tipificado!C17</f>
        <v>77.336213901621264</v>
      </c>
      <c r="B114" s="26">
        <f>Modelo_final_tipificado!D17</f>
        <v>82.443467226890775</v>
      </c>
      <c r="C114" s="26">
        <f>Modelo_final_tipificado!E17</f>
        <v>82.389291783380003</v>
      </c>
      <c r="D114" s="26">
        <f>Modelo_final_tipificado!F17</f>
        <v>-5.417544351077197E-2</v>
      </c>
      <c r="E114" s="26"/>
      <c r="F114" s="26">
        <f>Modelo_final_tipificado!G17</f>
        <v>0.30999718455426428</v>
      </c>
      <c r="G114" s="26">
        <f>Modelo_final_tipificado!H17</f>
        <v>5.0560490629476977E-2</v>
      </c>
      <c r="H114" s="26">
        <f>Modelo_final_tipificado!I17</f>
        <v>-0.39418616966903602</v>
      </c>
      <c r="I114" s="26">
        <f>Modelo_final_tipificado!J17</f>
        <v>0.25236542667995332</v>
      </c>
      <c r="J114" s="26">
        <f>Modelo_final_tipificado!K17</f>
        <v>-0.2124819189177842</v>
      </c>
      <c r="K114" s="26">
        <f>Modelo_final_tipificado!L17</f>
        <v>-9.9286927544406295E-2</v>
      </c>
    </row>
    <row r="115" spans="1:11" x14ac:dyDescent="0.2">
      <c r="A115" s="26">
        <f>Modelo_final_tipificado!C18</f>
        <v>70.558451309229994</v>
      </c>
      <c r="B115" s="26">
        <f>Modelo_final_tipificado!D18</f>
        <v>73.599996177188828</v>
      </c>
      <c r="C115" s="26">
        <f>Modelo_final_tipificado!E18</f>
        <v>73.75585951483157</v>
      </c>
      <c r="D115" s="26">
        <f>Modelo_final_tipificado!F18</f>
        <v>0.15586333764274229</v>
      </c>
      <c r="E115" s="26"/>
      <c r="F115" s="26">
        <f>Modelo_final_tipificado!G18</f>
        <v>0.68235483464761193</v>
      </c>
      <c r="G115" s="26">
        <f>Modelo_final_tipificado!H18</f>
        <v>0.77092098108258034</v>
      </c>
      <c r="H115" s="26">
        <f>Modelo_final_tipificado!I18</f>
        <v>1.191488907526653</v>
      </c>
      <c r="I115" s="26">
        <f>Modelo_final_tipificado!J18</f>
        <v>-1.071640045392692</v>
      </c>
      <c r="J115" s="26">
        <f>Modelo_final_tipificado!K18</f>
        <v>-0.64105212976815429</v>
      </c>
      <c r="K115" s="26">
        <f>Modelo_final_tipificado!L18</f>
        <v>0.67125596453078318</v>
      </c>
    </row>
    <row r="116" spans="1:11" x14ac:dyDescent="0.2">
      <c r="A116" s="26">
        <f>Modelo_final_tipificado!C19</f>
        <v>79.478383370228258</v>
      </c>
      <c r="B116" s="26">
        <f>Modelo_final_tipificado!D19</f>
        <v>82.556665796356413</v>
      </c>
      <c r="C116" s="26">
        <f>Modelo_final_tipificado!E19</f>
        <v>81.93560967978101</v>
      </c>
      <c r="D116" s="26">
        <f>Modelo_final_tipificado!F19</f>
        <v>-0.62105611657540294</v>
      </c>
      <c r="E116" s="26"/>
      <c r="F116" s="26">
        <f>Modelo_final_tipificado!G19</f>
        <v>0.63807276576269967</v>
      </c>
      <c r="G116" s="26">
        <f>Modelo_final_tipificado!H19</f>
        <v>0.5113462531022972</v>
      </c>
      <c r="H116" s="26">
        <f>Modelo_final_tipificado!I19</f>
        <v>-0.29995400641300929</v>
      </c>
      <c r="I116" s="26">
        <f>Modelo_final_tipificado!J19</f>
        <v>0.33934136305860468</v>
      </c>
      <c r="J116" s="26">
        <f>Modelo_final_tipificado!K19</f>
        <v>0.40905882015681527</v>
      </c>
      <c r="K116" s="26">
        <f>Modelo_final_tipificado!L19</f>
        <v>0.67719937670255381</v>
      </c>
    </row>
    <row r="117" spans="1:11" x14ac:dyDescent="0.2">
      <c r="A117" s="26">
        <f>Modelo_final_tipificado!C20</f>
        <v>82.961390756013145</v>
      </c>
      <c r="B117" s="26">
        <f>Modelo_final_tipificado!D20</f>
        <v>84.913087692046517</v>
      </c>
      <c r="C117" s="26">
        <f>Modelo_final_tipificado!E20</f>
        <v>85.256608318478911</v>
      </c>
      <c r="D117" s="26">
        <f>Modelo_final_tipificado!F20</f>
        <v>0.34352062643239378</v>
      </c>
      <c r="E117" s="26"/>
      <c r="F117" s="26">
        <f>Modelo_final_tipificado!G20</f>
        <v>1.147903435389809</v>
      </c>
      <c r="G117" s="26">
        <f>Modelo_final_tipificado!H20</f>
        <v>1.680859235367147</v>
      </c>
      <c r="H117" s="26">
        <f>Modelo_final_tipificado!I20</f>
        <v>2.6154214993156768</v>
      </c>
      <c r="I117" s="26">
        <f>Modelo_final_tipificado!J20</f>
        <v>1.142026206918388</v>
      </c>
      <c r="J117" s="26">
        <f>Modelo_final_tipificado!K20</f>
        <v>1.629455808307696</v>
      </c>
      <c r="K117" s="26">
        <f>Modelo_final_tipificado!L20</f>
        <v>0.13222987282921639</v>
      </c>
    </row>
    <row r="118" spans="1:11" x14ac:dyDescent="0.2">
      <c r="A118" s="26">
        <f>Modelo_final_tipificado!C21</f>
        <v>65.232358363620932</v>
      </c>
      <c r="B118" s="26">
        <f>Modelo_final_tipificado!D21</f>
        <v>67.798087080892969</v>
      </c>
      <c r="C118" s="26">
        <f>Modelo_final_tipificado!E21</f>
        <v>68.091049849333672</v>
      </c>
      <c r="D118" s="26">
        <f>Modelo_final_tipificado!F21</f>
        <v>0.29296276844070229</v>
      </c>
      <c r="E118" s="26"/>
      <c r="F118" s="26">
        <f>Modelo_final_tipificado!G21</f>
        <v>-0.61864865381417322</v>
      </c>
      <c r="G118" s="26">
        <f>Modelo_final_tipificado!H21</f>
        <v>-0.98005073118409591</v>
      </c>
      <c r="H118" s="26">
        <f>Modelo_final_tipificado!I21</f>
        <v>-0.2132773935772648</v>
      </c>
      <c r="I118" s="26">
        <f>Modelo_final_tipificado!J21</f>
        <v>-0.90319844174287289</v>
      </c>
      <c r="J118" s="26">
        <f>Modelo_final_tipificado!K21</f>
        <v>-0.57614862636106901</v>
      </c>
      <c r="K118" s="26">
        <f>Modelo_final_tipificado!L21</f>
        <v>-0.79634527040350134</v>
      </c>
    </row>
    <row r="119" spans="1:11" x14ac:dyDescent="0.2">
      <c r="A119" s="26">
        <f>Modelo_final_tipificado!C22</f>
        <v>76.596867706669457</v>
      </c>
      <c r="B119" s="26">
        <f>Modelo_final_tipificado!D22</f>
        <v>80.337069126135304</v>
      </c>
      <c r="C119" s="26">
        <f>Modelo_final_tipificado!E22</f>
        <v>80.760673525167647</v>
      </c>
      <c r="D119" s="26">
        <f>Modelo_final_tipificado!F22</f>
        <v>0.42360439903234243</v>
      </c>
      <c r="E119" s="26"/>
      <c r="F119" s="26">
        <f>Modelo_final_tipificado!G22</f>
        <v>0.45345897022679688</v>
      </c>
      <c r="G119" s="26">
        <f>Modelo_final_tipificado!H22</f>
        <v>0.61702425339513611</v>
      </c>
      <c r="H119" s="26">
        <f>Modelo_final_tipificado!I22</f>
        <v>0.42721068173172638</v>
      </c>
      <c r="I119" s="26">
        <f>Modelo_final_tipificado!J22</f>
        <v>-0.22019164565924099</v>
      </c>
      <c r="J119" s="26">
        <f>Modelo_final_tipificado!K22</f>
        <v>0.21136593577137799</v>
      </c>
      <c r="K119" s="26">
        <f>Modelo_final_tipificado!L22</f>
        <v>0.91580729022754193</v>
      </c>
    </row>
    <row r="120" spans="1:11" x14ac:dyDescent="0.2">
      <c r="A120" s="26">
        <f>Modelo_final_tipificado!C23</f>
        <v>84.953574260958888</v>
      </c>
      <c r="B120" s="26">
        <f>Modelo_final_tipificado!D23</f>
        <v>86.762526130405547</v>
      </c>
      <c r="C120" s="26">
        <f>Modelo_final_tipificado!E23</f>
        <v>87.022461629710165</v>
      </c>
      <c r="D120" s="26">
        <f>Modelo_final_tipificado!F23</f>
        <v>0.25993549930461768</v>
      </c>
      <c r="E120" s="26"/>
      <c r="F120" s="26">
        <f>Modelo_final_tipificado!G23</f>
        <v>0.98134848161596944</v>
      </c>
      <c r="G120" s="26">
        <f>Modelo_final_tipificado!H23</f>
        <v>1.738700098299834</v>
      </c>
      <c r="H120" s="26">
        <f>Modelo_final_tipificado!I23</f>
        <v>1.461091127940233</v>
      </c>
      <c r="I120" s="26">
        <f>Modelo_final_tipificado!J23</f>
        <v>1.234791399697923</v>
      </c>
      <c r="J120" s="26">
        <f>Modelo_final_tipificado!K23</f>
        <v>2.0841068078144018</v>
      </c>
      <c r="K120" s="26">
        <f>Modelo_final_tipificado!L23</f>
        <v>-0.26036930855167728</v>
      </c>
    </row>
    <row r="121" spans="1:11" x14ac:dyDescent="0.2">
      <c r="A121" s="26">
        <f>Modelo_final_tipificado!C24</f>
        <v>79.767984070942433</v>
      </c>
      <c r="B121" s="26">
        <f>Modelo_final_tipificado!D24</f>
        <v>82.994768531958243</v>
      </c>
      <c r="C121" s="26">
        <f>Modelo_final_tipificado!E24</f>
        <v>83.139233284525929</v>
      </c>
      <c r="D121" s="26">
        <f>Modelo_final_tipificado!F24</f>
        <v>0.14446475256768571</v>
      </c>
      <c r="E121" s="26"/>
      <c r="F121" s="26">
        <f>Modelo_final_tipificado!G24</f>
        <v>0.89740182996049256</v>
      </c>
      <c r="G121" s="26">
        <f>Modelo_final_tipificado!H24</f>
        <v>1.094079332131368</v>
      </c>
      <c r="H121" s="26">
        <f>Modelo_final_tipificado!I24</f>
        <v>0.71605759868438112</v>
      </c>
      <c r="I121" s="26">
        <f>Modelo_final_tipificado!J24</f>
        <v>1.007290676130584</v>
      </c>
      <c r="J121" s="26">
        <f>Modelo_final_tipificado!K24</f>
        <v>1.052294366354015</v>
      </c>
      <c r="K121" s="26">
        <f>Modelo_final_tipificado!L24</f>
        <v>-0.55170862971879753</v>
      </c>
    </row>
    <row r="122" spans="1:11" x14ac:dyDescent="0.2">
      <c r="A122" s="26">
        <f>Modelo_final_tipificado!C25</f>
        <v>69.388030382896957</v>
      </c>
      <c r="B122" s="26">
        <f>Modelo_final_tipificado!D25</f>
        <v>73.368597387742994</v>
      </c>
      <c r="C122" s="26">
        <f>Modelo_final_tipificado!E25</f>
        <v>73.672216373822238</v>
      </c>
      <c r="D122" s="26">
        <f>Modelo_final_tipificado!F25</f>
        <v>0.30361898607924331</v>
      </c>
      <c r="E122" s="26"/>
      <c r="F122" s="26">
        <f>Modelo_final_tipificado!G25</f>
        <v>-0.66225791384926103</v>
      </c>
      <c r="G122" s="26">
        <f>Modelo_final_tipificado!H25</f>
        <v>-0.26081272964961377</v>
      </c>
      <c r="H122" s="26">
        <f>Modelo_final_tipificado!I25</f>
        <v>-1.3521464673853301</v>
      </c>
      <c r="I122" s="26">
        <f>Modelo_final_tipificado!J25</f>
        <v>6.694628633918881E-2</v>
      </c>
      <c r="J122" s="26">
        <f>Modelo_final_tipificado!K25</f>
        <v>-0.87243428944415502</v>
      </c>
      <c r="K122" s="26">
        <f>Modelo_final_tipificado!L25</f>
        <v>-3.6755882303405138E-2</v>
      </c>
    </row>
    <row r="123" spans="1:11" x14ac:dyDescent="0.2">
      <c r="A123" s="26">
        <f>Modelo_final_tipificado!C26</f>
        <v>80.509770957956192</v>
      </c>
      <c r="B123" s="26">
        <f>Modelo_final_tipificado!D26</f>
        <v>83.247360294117655</v>
      </c>
      <c r="C123" s="26">
        <f>Modelo_final_tipificado!E26</f>
        <v>83.669599840845422</v>
      </c>
      <c r="D123" s="26">
        <f>Modelo_final_tipificado!F26</f>
        <v>0.42223954672776642</v>
      </c>
      <c r="E123" s="26"/>
      <c r="F123" s="26">
        <f>Modelo_final_tipificado!G26</f>
        <v>1.0363245702832811</v>
      </c>
      <c r="G123" s="26">
        <f>Modelo_final_tipificado!H26</f>
        <v>1.176995141732426</v>
      </c>
      <c r="H123" s="26">
        <f>Modelo_final_tipificado!I26</f>
        <v>0.27528203139350421</v>
      </c>
      <c r="I123" s="26">
        <f>Modelo_final_tipificado!J26</f>
        <v>1.5756596583146421</v>
      </c>
      <c r="J123" s="26">
        <f>Modelo_final_tipificado!K26</f>
        <v>1.6320071013491211</v>
      </c>
      <c r="K123" s="26">
        <f>Modelo_final_tipificado!L26</f>
        <v>-0.32893416543314957</v>
      </c>
    </row>
    <row r="124" spans="1:11" x14ac:dyDescent="0.2">
      <c r="A124" s="26">
        <f>Modelo_final_tipificado!C27</f>
        <v>75.109476085916469</v>
      </c>
      <c r="B124" s="26">
        <f>Modelo_final_tipificado!D27</f>
        <v>78.880834101519383</v>
      </c>
      <c r="C124" s="26">
        <f>Modelo_final_tipificado!E27</f>
        <v>79.121656854256855</v>
      </c>
      <c r="D124" s="26">
        <f>Modelo_final_tipificado!F27</f>
        <v>0.240822752737472</v>
      </c>
      <c r="E124" s="26"/>
      <c r="F124" s="26">
        <f>Modelo_final_tipificado!G27</f>
        <v>0.50351475465266615</v>
      </c>
      <c r="G124" s="26">
        <f>Modelo_final_tipificado!H27</f>
        <v>6.8116974563176107E-3</v>
      </c>
      <c r="H124" s="26">
        <f>Modelo_final_tipificado!I27</f>
        <v>-0.78632047678057082</v>
      </c>
      <c r="I124" s="26">
        <f>Modelo_final_tipificado!J27</f>
        <v>0.12231031599210911</v>
      </c>
      <c r="J124" s="26">
        <f>Modelo_final_tipificado!K27</f>
        <v>-0.26343914847150768</v>
      </c>
      <c r="K124" s="26">
        <f>Modelo_final_tipificado!L27</f>
        <v>-0.52745801459187491</v>
      </c>
    </row>
    <row r="125" spans="1:11" x14ac:dyDescent="0.2">
      <c r="A125" s="26">
        <f>Modelo_final_tipificado!C28</f>
        <v>56.565491362150922</v>
      </c>
      <c r="B125" s="26">
        <f>Modelo_final_tipificado!D28</f>
        <v>59.631920961718023</v>
      </c>
      <c r="C125" s="26">
        <f>Modelo_final_tipificado!E28</f>
        <v>59.863792343604118</v>
      </c>
      <c r="D125" s="26">
        <f>Modelo_final_tipificado!F28</f>
        <v>0.23187138188609421</v>
      </c>
      <c r="E125" s="26"/>
      <c r="F125" s="26">
        <f>Modelo_final_tipificado!G28</f>
        <v>-0.86594629364441533</v>
      </c>
      <c r="G125" s="26">
        <f>Modelo_final_tipificado!H28</f>
        <v>-1.254503877956699</v>
      </c>
      <c r="H125" s="26">
        <f>Modelo_final_tipificado!I28</f>
        <v>-1.22838620256954</v>
      </c>
      <c r="I125" s="26">
        <f>Modelo_final_tipificado!J28</f>
        <v>-1.8209929042805399</v>
      </c>
      <c r="J125" s="26">
        <f>Modelo_final_tipificado!K28</f>
        <v>-1.0600079516576471</v>
      </c>
      <c r="K125" s="26">
        <f>Modelo_final_tipificado!L28</f>
        <v>-0.57760093682430624</v>
      </c>
    </row>
    <row r="126" spans="1:11" x14ac:dyDescent="0.2">
      <c r="A126" s="26">
        <f>Modelo_final_tipificado!C29</f>
        <v>79.428467432740874</v>
      </c>
      <c r="B126" s="26">
        <f>Modelo_final_tipificado!D29</f>
        <v>81.784664801517934</v>
      </c>
      <c r="C126" s="26">
        <f>Modelo_final_tipificado!E29</f>
        <v>80.373091641446791</v>
      </c>
      <c r="D126" s="26">
        <f>Modelo_final_tipificado!F29</f>
        <v>-1.411573160071143</v>
      </c>
      <c r="E126" s="26"/>
      <c r="F126" s="26">
        <f>Modelo_final_tipificado!G29</f>
        <v>0.33119046680053632</v>
      </c>
      <c r="G126" s="26">
        <f>Modelo_final_tipificado!H29</f>
        <v>0.22314295891374841</v>
      </c>
      <c r="H126" s="26">
        <f>Modelo_final_tipificado!I29</f>
        <v>0.1741202093072772</v>
      </c>
      <c r="I126" s="26">
        <f>Modelo_final_tipificado!J29</f>
        <v>0.30227174135987439</v>
      </c>
      <c r="J126" s="26">
        <f>Modelo_final_tipificado!K29</f>
        <v>6.2483993800508418E-2</v>
      </c>
      <c r="K126" s="26">
        <f>Modelo_final_tipificado!L29</f>
        <v>1.0834292595268831</v>
      </c>
    </row>
    <row r="127" spans="1:11" x14ac:dyDescent="0.2">
      <c r="A127" s="26">
        <f>Modelo_final_tipificado!C30</f>
        <v>79.24049333142348</v>
      </c>
      <c r="B127" s="26">
        <f>Modelo_final_tipificado!D30</f>
        <v>80.346246848739497</v>
      </c>
      <c r="C127" s="26">
        <f>Modelo_final_tipificado!E30</f>
        <v>80.791794864612513</v>
      </c>
      <c r="D127" s="26">
        <f>Modelo_final_tipificado!F30</f>
        <v>0.4455480158730154</v>
      </c>
      <c r="E127" s="26"/>
      <c r="F127" s="26">
        <f>Modelo_final_tipificado!G30</f>
        <v>1.078235669554531</v>
      </c>
      <c r="G127" s="26">
        <f>Modelo_final_tipificado!H30</f>
        <v>1.304570026586974</v>
      </c>
      <c r="H127" s="26">
        <f>Modelo_final_tipificado!I30</f>
        <v>2.217528594309365</v>
      </c>
      <c r="I127" s="26">
        <f>Modelo_final_tipificado!J30</f>
        <v>0.80093177687198558</v>
      </c>
      <c r="J127" s="26">
        <f>Modelo_final_tipificado!K30</f>
        <v>1.309722063881801</v>
      </c>
      <c r="K127" s="26">
        <f>Modelo_final_tipificado!L30</f>
        <v>-0.13935961718183501</v>
      </c>
    </row>
    <row r="128" spans="1:11" x14ac:dyDescent="0.2">
      <c r="A128" s="26">
        <f>Modelo_final_tipificado!C31</f>
        <v>58.495794382904677</v>
      </c>
      <c r="B128" s="26">
        <f>Modelo_final_tipificado!D31</f>
        <v>65.669412931839389</v>
      </c>
      <c r="C128" s="26">
        <f>Modelo_final_tipificado!E31</f>
        <v>66.954602497665732</v>
      </c>
      <c r="D128" s="26">
        <f>Modelo_final_tipificado!F31</f>
        <v>1.285189565826343</v>
      </c>
      <c r="E128" s="26"/>
      <c r="F128" s="26">
        <f>Modelo_final_tipificado!G31</f>
        <v>-1.5648364161714989</v>
      </c>
      <c r="G128" s="26">
        <f>Modelo_final_tipificado!H31</f>
        <v>-0.49560294361349222</v>
      </c>
      <c r="H128" s="26">
        <f>Modelo_final_tipificado!I31</f>
        <v>-0.57166713756771004</v>
      </c>
      <c r="I128" s="26">
        <f>Modelo_final_tipificado!J31</f>
        <v>-0.8622633405397091</v>
      </c>
      <c r="J128" s="26">
        <f>Modelo_final_tipificado!K31</f>
        <v>-0.36788273399746491</v>
      </c>
      <c r="K128" s="26">
        <f>Modelo_final_tipificado!L31</f>
        <v>-0.85599091217352907</v>
      </c>
    </row>
    <row r="129" spans="1:11" x14ac:dyDescent="0.2">
      <c r="A129" s="26">
        <f>Modelo_final_tipificado!C32</f>
        <v>63.680775461548258</v>
      </c>
      <c r="B129" s="26">
        <f>Modelo_final_tipificado!D32</f>
        <v>69.510795168067219</v>
      </c>
      <c r="C129" s="26">
        <f>Modelo_final_tipificado!E32</f>
        <v>70.218873716153112</v>
      </c>
      <c r="D129" s="26">
        <f>Modelo_final_tipificado!F32</f>
        <v>0.70807854808589354</v>
      </c>
      <c r="E129" s="26"/>
      <c r="F129" s="26">
        <f>Modelo_final_tipificado!G32</f>
        <v>-0.9580145483996475</v>
      </c>
      <c r="G129" s="26">
        <f>Modelo_final_tipificado!H32</f>
        <v>-0.72142616408152305</v>
      </c>
      <c r="H129" s="26">
        <f>Modelo_final_tipificado!I32</f>
        <v>-1.6940413460629851</v>
      </c>
      <c r="I129" s="26">
        <f>Modelo_final_tipificado!J32</f>
        <v>-1.3114660462793151</v>
      </c>
      <c r="J129" s="26">
        <f>Modelo_final_tipificado!K32</f>
        <v>-0.93176530814476255</v>
      </c>
      <c r="K129" s="26">
        <f>Modelo_final_tipificado!L32</f>
        <v>-0.71555960989241518</v>
      </c>
    </row>
    <row r="130" spans="1:11" x14ac:dyDescent="0.2">
      <c r="A130" s="26">
        <f>Modelo_final_tipificado!C33</f>
        <v>65.209345658263302</v>
      </c>
      <c r="B130" s="26">
        <f>Modelo_final_tipificado!D33</f>
        <v>69.341351283846862</v>
      </c>
      <c r="C130" s="26">
        <f>Modelo_final_tipificado!E33</f>
        <v>69.55890011671336</v>
      </c>
      <c r="D130" s="26">
        <f>Modelo_final_tipificado!F33</f>
        <v>0.21754883286649829</v>
      </c>
      <c r="E130" s="26"/>
      <c r="F130" s="26">
        <f>Modelo_final_tipificado!G33</f>
        <v>-0.45087859561063798</v>
      </c>
      <c r="G130" s="26">
        <f>Modelo_final_tipificado!H33</f>
        <v>-1.09225004015914</v>
      </c>
      <c r="H130" s="26">
        <f>Modelo_final_tipificado!I33</f>
        <v>-0.73452221429650089</v>
      </c>
      <c r="I130" s="26">
        <f>Modelo_final_tipificado!J33</f>
        <v>0.63295198788042728</v>
      </c>
      <c r="J130" s="26">
        <f>Modelo_final_tipificado!K33</f>
        <v>-0.59446569063595878</v>
      </c>
      <c r="K130" s="26">
        <f>Modelo_final_tipificado!L33</f>
        <v>-0.79033823523483648</v>
      </c>
    </row>
    <row r="131" spans="1:11" x14ac:dyDescent="0.2">
      <c r="A131" s="26">
        <f>Modelo_final_tipificado!C34</f>
        <v>76.612049086163395</v>
      </c>
      <c r="B131" s="26">
        <f>Modelo_final_tipificado!D34</f>
        <v>78.154383672863105</v>
      </c>
      <c r="C131" s="26">
        <f>Modelo_final_tipificado!E34</f>
        <v>78.589964041677263</v>
      </c>
      <c r="D131" s="26">
        <f>Modelo_final_tipificado!F34</f>
        <v>0.43558036881415768</v>
      </c>
      <c r="E131" s="26"/>
      <c r="F131" s="26">
        <f>Modelo_final_tipificado!G34</f>
        <v>1.2979017964190691</v>
      </c>
      <c r="G131" s="26">
        <f>Modelo_final_tipificado!H34</f>
        <v>1.098684875575989</v>
      </c>
      <c r="H131" s="26">
        <f>Modelo_final_tipificado!I34</f>
        <v>-0.12631168522516881</v>
      </c>
      <c r="I131" s="26">
        <f>Modelo_final_tipificado!J34</f>
        <v>-0.50085670646883096</v>
      </c>
      <c r="J131" s="26">
        <f>Modelo_final_tipificado!K34</f>
        <v>0.16552087716892341</v>
      </c>
      <c r="K131" s="26">
        <f>Modelo_final_tipificado!L34</f>
        <v>1.8292429203777221</v>
      </c>
    </row>
    <row r="132" spans="1:11" x14ac:dyDescent="0.2">
      <c r="A132" s="26">
        <f>Modelo_final_tipificado!C35</f>
        <v>71.755273040848039</v>
      </c>
      <c r="B132" s="26">
        <f>Modelo_final_tipificado!D35</f>
        <v>74.479993783667297</v>
      </c>
      <c r="C132" s="26">
        <f>Modelo_final_tipificado!E35</f>
        <v>74.458852174459551</v>
      </c>
      <c r="D132" s="26">
        <f>Modelo_final_tipificado!F35</f>
        <v>-2.114160920774566E-2</v>
      </c>
      <c r="E132" s="26"/>
      <c r="F132" s="26">
        <f>Modelo_final_tipificado!G35</f>
        <v>0.60949523424179941</v>
      </c>
      <c r="G132" s="26">
        <f>Modelo_final_tipificado!H35</f>
        <v>0.8355987439874204</v>
      </c>
      <c r="H132" s="26">
        <f>Modelo_final_tipificado!I35</f>
        <v>1.0000462159209671</v>
      </c>
      <c r="I132" s="26">
        <f>Modelo_final_tipificado!J35</f>
        <v>0.9017356168657974</v>
      </c>
      <c r="J132" s="26">
        <f>Modelo_final_tipificado!K35</f>
        <v>3.2199064813890979</v>
      </c>
      <c r="K132" s="26">
        <f>Modelo_final_tipificado!L35</f>
        <v>-0.45027235552467781</v>
      </c>
    </row>
    <row r="133" spans="1:11" x14ac:dyDescent="0.2">
      <c r="A133" s="26">
        <f>Modelo_final_tipificado!C36</f>
        <v>76.534426527594505</v>
      </c>
      <c r="B133" s="26">
        <f>Modelo_final_tipificado!D36</f>
        <v>79.877581943383419</v>
      </c>
      <c r="C133" s="26">
        <f>Modelo_final_tipificado!E36</f>
        <v>80.260133471267295</v>
      </c>
      <c r="D133" s="26">
        <f>Modelo_final_tipificado!F36</f>
        <v>0.38255152788387647</v>
      </c>
      <c r="E133" s="26"/>
      <c r="F133" s="26">
        <f>Modelo_final_tipificado!G36</f>
        <v>0.89834434271027475</v>
      </c>
      <c r="G133" s="26">
        <f>Modelo_final_tipificado!H36</f>
        <v>2.3969496486796211E-2</v>
      </c>
      <c r="H133" s="26">
        <f>Modelo_final_tipificado!I36</f>
        <v>-0.26815988081867098</v>
      </c>
      <c r="I133" s="26">
        <f>Modelo_final_tipificado!J36</f>
        <v>0.79109705947777531</v>
      </c>
      <c r="J133" s="26">
        <f>Modelo_final_tipificado!K36</f>
        <v>0.1220534988969426</v>
      </c>
      <c r="K133" s="26">
        <f>Modelo_final_tipificado!L36</f>
        <v>-0.66863892111738576</v>
      </c>
    </row>
    <row r="134" spans="1:11" x14ac:dyDescent="0.2">
      <c r="A134" s="26">
        <f>Modelo_final_tipificado!C37</f>
        <v>78.206784157190114</v>
      </c>
      <c r="B134" s="26">
        <f>Modelo_final_tipificado!D37</f>
        <v>80.060892330382018</v>
      </c>
      <c r="C134" s="26">
        <f>Modelo_final_tipificado!E37</f>
        <v>80.661850830705248</v>
      </c>
      <c r="D134" s="26">
        <f>Modelo_final_tipificado!F37</f>
        <v>0.60095850032323028</v>
      </c>
      <c r="E134" s="26"/>
      <c r="F134" s="26">
        <f>Modelo_final_tipificado!G37</f>
        <v>0.70925309757130439</v>
      </c>
      <c r="G134" s="26">
        <f>Modelo_final_tipificado!H37</f>
        <v>1.098088865010219</v>
      </c>
      <c r="H134" s="26">
        <f>Modelo_final_tipificado!I37</f>
        <v>-0.98920785333862049</v>
      </c>
      <c r="I134" s="26">
        <f>Modelo_final_tipificado!J37</f>
        <v>2.406786566166963</v>
      </c>
      <c r="J134" s="26">
        <f>Modelo_final_tipificado!K37</f>
        <v>2.0389828749254111</v>
      </c>
      <c r="K134" s="26">
        <f>Modelo_final_tipificado!L37</f>
        <v>-1.086017830745023</v>
      </c>
    </row>
    <row r="135" spans="1:11" x14ac:dyDescent="0.2">
      <c r="A135" s="26">
        <f>Modelo_final_tipificado!C38</f>
        <v>68.015639099702383</v>
      </c>
      <c r="B135" s="26">
        <f>Modelo_final_tipificado!D38</f>
        <v>71.373615624999985</v>
      </c>
      <c r="C135" s="26">
        <f>Modelo_final_tipificado!E38</f>
        <v>71.517850931584761</v>
      </c>
      <c r="D135" s="26">
        <f>Modelo_final_tipificado!F38</f>
        <v>0.14423530658477551</v>
      </c>
      <c r="E135" s="26"/>
      <c r="F135" s="26">
        <f>Modelo_final_tipificado!G38</f>
        <v>0.17059510526770891</v>
      </c>
      <c r="G135" s="26">
        <f>Modelo_final_tipificado!H38</f>
        <v>-0.93562980882410995</v>
      </c>
      <c r="H135" s="26">
        <f>Modelo_final_tipificado!I38</f>
        <v>-1.1563142969390801</v>
      </c>
      <c r="I135" s="26">
        <f>Modelo_final_tipificado!J38</f>
        <v>0.44597240874468769</v>
      </c>
      <c r="J135" s="26">
        <f>Modelo_final_tipificado!K38</f>
        <v>-0.91812626142179488</v>
      </c>
      <c r="K135" s="26">
        <f>Modelo_final_tipificado!L38</f>
        <v>-0.2366443066620211</v>
      </c>
    </row>
    <row r="136" spans="1:11" x14ac:dyDescent="0.2">
      <c r="A136" s="26">
        <f>Modelo_final_tipificado!C39</f>
        <v>55.924861482471783</v>
      </c>
      <c r="B136" s="26">
        <f>Modelo_final_tipificado!D39</f>
        <v>60.783007236227817</v>
      </c>
      <c r="C136" s="26">
        <f>Modelo_final_tipificado!E39</f>
        <v>61.928932492997177</v>
      </c>
      <c r="D136" s="26">
        <f>Modelo_final_tipificado!F39</f>
        <v>1.1459252567693601</v>
      </c>
      <c r="E136" s="26"/>
      <c r="F136" s="26">
        <f>Modelo_final_tipificado!G39</f>
        <v>-1.7969256989395159</v>
      </c>
      <c r="G136" s="26">
        <f>Modelo_final_tipificado!H39</f>
        <v>-1.075670727839583</v>
      </c>
      <c r="H136" s="26">
        <f>Modelo_final_tipificado!I39</f>
        <v>0.69058759528926139</v>
      </c>
      <c r="I136" s="26">
        <f>Modelo_final_tipificado!J39</f>
        <v>-1.371439576239593</v>
      </c>
      <c r="J136" s="26">
        <f>Modelo_final_tipificado!K39</f>
        <v>-0.58159384531467406</v>
      </c>
      <c r="K136" s="26">
        <f>Modelo_final_tipificado!L39</f>
        <v>-0.76196157913345008</v>
      </c>
    </row>
    <row r="137" spans="1:11" x14ac:dyDescent="0.2">
      <c r="A137" s="26">
        <f>Modelo_final_tipificado!C40</f>
        <v>75.312239233642174</v>
      </c>
      <c r="B137" s="26">
        <f>Modelo_final_tipificado!D40</f>
        <v>77.70944668354521</v>
      </c>
      <c r="C137" s="26">
        <f>Modelo_final_tipificado!E40</f>
        <v>78.11618382532501</v>
      </c>
      <c r="D137" s="26">
        <f>Modelo_final_tipificado!F40</f>
        <v>0.40673714177980003</v>
      </c>
      <c r="E137" s="26"/>
      <c r="F137" s="26">
        <f>Modelo_final_tipificado!G40</f>
        <v>0.64674240650706893</v>
      </c>
      <c r="G137" s="26">
        <f>Modelo_final_tipificado!H40</f>
        <v>0.62945426018169714</v>
      </c>
      <c r="H137" s="26">
        <f>Modelo_final_tipificado!I40</f>
        <v>-1.14589251475483E-2</v>
      </c>
      <c r="I137" s="26">
        <f>Modelo_final_tipificado!J40</f>
        <v>2.4862187346249338</v>
      </c>
      <c r="J137" s="26">
        <f>Modelo_final_tipificado!K40</f>
        <v>2.309831363272222</v>
      </c>
      <c r="K137" s="26">
        <f>Modelo_final_tipificado!L40</f>
        <v>-0.26115752039886658</v>
      </c>
    </row>
    <row r="138" spans="1:11" x14ac:dyDescent="0.2">
      <c r="A138" s="26">
        <f>Modelo_final_tipificado!C41</f>
        <v>69.895955115891056</v>
      </c>
      <c r="B138" s="26">
        <f>Modelo_final_tipificado!D41</f>
        <v>74.214399751984118</v>
      </c>
      <c r="C138" s="26">
        <f>Modelo_final_tipificado!E41</f>
        <v>74.503562789661302</v>
      </c>
      <c r="D138" s="26">
        <f>Modelo_final_tipificado!F41</f>
        <v>0.28916303767718432</v>
      </c>
      <c r="E138" s="26"/>
      <c r="F138" s="26">
        <f>Modelo_final_tipificado!G41</f>
        <v>-1.653346305854871</v>
      </c>
      <c r="G138" s="26">
        <f>Modelo_final_tipificado!H41</f>
        <v>-1.281538480834769</v>
      </c>
      <c r="H138" s="26">
        <f>Modelo_final_tipificado!I41</f>
        <v>0.79326160273754864</v>
      </c>
      <c r="I138" s="26">
        <f>Modelo_final_tipificado!J41</f>
        <v>-0.35474488331257498</v>
      </c>
      <c r="J138" s="26">
        <f>Modelo_final_tipificado!K41</f>
        <v>-0.94914370942942183</v>
      </c>
      <c r="K138" s="26">
        <f>Modelo_final_tipificado!L41</f>
        <v>0.3467600842454332</v>
      </c>
    </row>
    <row r="139" spans="1:11" x14ac:dyDescent="0.2">
      <c r="A139" s="26">
        <f>Modelo_final_tipificado!C42</f>
        <v>77.542071422591079</v>
      </c>
      <c r="B139" s="26">
        <f>Modelo_final_tipificado!D42</f>
        <v>80.690937388591792</v>
      </c>
      <c r="C139" s="26">
        <f>Modelo_final_tipificado!E42</f>
        <v>81.191025447754868</v>
      </c>
      <c r="D139" s="26">
        <f>Modelo_final_tipificado!F42</f>
        <v>0.50008805916307608</v>
      </c>
      <c r="E139" s="26"/>
      <c r="F139" s="26">
        <f>Modelo_final_tipificado!G42</f>
        <v>0.2179381969247555</v>
      </c>
      <c r="G139" s="26">
        <f>Modelo_final_tipificado!H42</f>
        <v>0.29552898123944099</v>
      </c>
      <c r="H139" s="26">
        <f>Modelo_final_tipificado!I42</f>
        <v>0.60003133868150937</v>
      </c>
      <c r="I139" s="26">
        <f>Modelo_final_tipificado!J42</f>
        <v>0.28883191874635872</v>
      </c>
      <c r="J139" s="26">
        <f>Modelo_final_tipificado!K42</f>
        <v>-0.543492637007018</v>
      </c>
      <c r="K139" s="26">
        <f>Modelo_final_tipificado!L42</f>
        <v>0.38826790860247451</v>
      </c>
    </row>
    <row r="140" spans="1:11" x14ac:dyDescent="0.2">
      <c r="A140" s="26">
        <f>Modelo_final_tipificado!C43</f>
        <v>75.282893512184486</v>
      </c>
      <c r="B140" s="26">
        <f>Modelo_final_tipificado!D43</f>
        <v>77.690405595874722</v>
      </c>
      <c r="C140" s="26">
        <f>Modelo_final_tipificado!E43</f>
        <v>78.808598198370262</v>
      </c>
      <c r="D140" s="26">
        <f>Modelo_final_tipificado!F43</f>
        <v>1.11819260249554</v>
      </c>
      <c r="E140" s="26"/>
      <c r="F140" s="26">
        <f>Modelo_final_tipificado!G43</f>
        <v>0.35279329629068351</v>
      </c>
      <c r="G140" s="26">
        <f>Modelo_final_tipificado!H43</f>
        <v>0.36412919985430542</v>
      </c>
      <c r="H140" s="26">
        <f>Modelo_final_tipificado!I43</f>
        <v>0.134022593037676</v>
      </c>
      <c r="I140" s="26">
        <f>Modelo_final_tipificado!J43</f>
        <v>-0.1828754264473412</v>
      </c>
      <c r="J140" s="26">
        <f>Modelo_final_tipificado!K43</f>
        <v>-0.25277679616696053</v>
      </c>
      <c r="K140" s="26">
        <f>Modelo_final_tipificado!L43</f>
        <v>0.66959973703683784</v>
      </c>
    </row>
    <row r="141" spans="1:11" x14ac:dyDescent="0.2">
      <c r="A141" s="26">
        <f>Modelo_final_tipificado!C44</f>
        <v>73.455531715183497</v>
      </c>
      <c r="B141" s="26">
        <f>Modelo_final_tipificado!D44</f>
        <v>76.712427272727268</v>
      </c>
      <c r="C141" s="26">
        <f>Modelo_final_tipificado!E44</f>
        <v>76.72567524722011</v>
      </c>
      <c r="D141" s="26">
        <f>Modelo_final_tipificado!F44</f>
        <v>1.324797449284176E-2</v>
      </c>
      <c r="E141" s="26"/>
      <c r="F141" s="26">
        <f>Modelo_final_tipificado!G44</f>
        <v>1.9516582814206</v>
      </c>
      <c r="G141" s="26">
        <f>Modelo_final_tipificado!H44</f>
        <v>1.369751590727307</v>
      </c>
      <c r="H141" s="26">
        <f>Modelo_final_tipificado!I44</f>
        <v>-0.68521718612391402</v>
      </c>
      <c r="I141" s="26">
        <f>Modelo_final_tipificado!J44</f>
        <v>0.82404067810921089</v>
      </c>
      <c r="J141" s="26">
        <f>Modelo_final_tipificado!K44</f>
        <v>0.26332926002740281</v>
      </c>
      <c r="K141" s="26">
        <f>Modelo_final_tipificado!L44</f>
        <v>3.9940654061977439</v>
      </c>
    </row>
    <row r="142" spans="1:11" x14ac:dyDescent="0.2">
      <c r="A142" s="26">
        <f>Modelo_final_tipificado!C45</f>
        <v>48.080864294039287</v>
      </c>
      <c r="B142" s="26">
        <f>Modelo_final_tipificado!D45</f>
        <v>51.212910838181443</v>
      </c>
      <c r="C142" s="26">
        <f>Modelo_final_tipificado!E45</f>
        <v>51.048877847805777</v>
      </c>
      <c r="D142" s="26">
        <f>Modelo_final_tipificado!F45</f>
        <v>-0.16403299037566649</v>
      </c>
      <c r="E142" s="26"/>
      <c r="F142" s="26">
        <f>Modelo_final_tipificado!G45</f>
        <v>-2.8671946598752802</v>
      </c>
      <c r="G142" s="26">
        <f>Modelo_final_tipificado!H45</f>
        <v>-1.4652146603046829</v>
      </c>
      <c r="H142" s="26">
        <f>Modelo_final_tipificado!I45</f>
        <v>-1.546431423082385</v>
      </c>
      <c r="I142" s="26">
        <f>Modelo_final_tipificado!J45</f>
        <v>-2.007732134086464</v>
      </c>
      <c r="J142" s="26">
        <f>Modelo_final_tipificado!K45</f>
        <v>-0.97939563388969031</v>
      </c>
      <c r="K142" s="26">
        <f>Modelo_final_tipificado!L45</f>
        <v>-0.60170496648050131</v>
      </c>
    </row>
    <row r="143" spans="1:11" x14ac:dyDescent="0.2">
      <c r="A143" s="26">
        <f>Modelo_final_tipificado!C46</f>
        <v>65.292386962057549</v>
      </c>
      <c r="B143" s="26">
        <f>Modelo_final_tipificado!D46</f>
        <v>68.266482002801126</v>
      </c>
      <c r="C143" s="26">
        <f>Modelo_final_tipificado!E46</f>
        <v>69.520162254901948</v>
      </c>
      <c r="D143" s="26">
        <f>Modelo_final_tipificado!F46</f>
        <v>1.253680252100821</v>
      </c>
      <c r="E143" s="26"/>
      <c r="F143" s="26">
        <f>Modelo_final_tipificado!G46</f>
        <v>0.1118022139718486</v>
      </c>
      <c r="G143" s="26">
        <f>Modelo_final_tipificado!H46</f>
        <v>0.59050398693633721</v>
      </c>
      <c r="H143" s="26">
        <f>Modelo_final_tipificado!I46</f>
        <v>0.59471133883089866</v>
      </c>
      <c r="I143" s="26">
        <f>Modelo_final_tipificado!J46</f>
        <v>-0.13904565987542949</v>
      </c>
      <c r="J143" s="26">
        <f>Modelo_final_tipificado!K46</f>
        <v>-0.16175445493621249</v>
      </c>
      <c r="K143" s="26">
        <f>Modelo_final_tipificado!L46</f>
        <v>1.3142033643786171</v>
      </c>
    </row>
    <row r="144" spans="1:11" x14ac:dyDescent="0.2">
      <c r="A144" s="26">
        <f>Modelo_final_tipificado!C47</f>
        <v>74.429972071555895</v>
      </c>
      <c r="B144" s="26">
        <f>Modelo_final_tipificado!D47</f>
        <v>77.933704668534062</v>
      </c>
      <c r="C144" s="26">
        <f>Modelo_final_tipificado!E47</f>
        <v>79.285931792717093</v>
      </c>
      <c r="D144" s="26">
        <f>Modelo_final_tipificado!F47</f>
        <v>1.352227124183031</v>
      </c>
      <c r="E144" s="26"/>
      <c r="F144" s="26">
        <f>Modelo_final_tipificado!G47</f>
        <v>0.66919925660069712</v>
      </c>
      <c r="G144" s="26">
        <f>Modelo_final_tipificado!H47</f>
        <v>0.61108244657666677</v>
      </c>
      <c r="H144" s="26">
        <f>Modelo_final_tipificado!I47</f>
        <v>0.78588265558165882</v>
      </c>
      <c r="I144" s="26">
        <f>Modelo_final_tipificado!J47</f>
        <v>-0.26278017783736479</v>
      </c>
      <c r="J144" s="26">
        <f>Modelo_final_tipificado!K47</f>
        <v>-0.53508422076474638</v>
      </c>
      <c r="K144" s="26">
        <f>Modelo_final_tipificado!L47</f>
        <v>1.794562142553094</v>
      </c>
    </row>
    <row r="145" spans="1:11" x14ac:dyDescent="0.2">
      <c r="A145" s="26">
        <f>Modelo_final_tipificado!C48</f>
        <v>65.716336985496682</v>
      </c>
      <c r="B145" s="26">
        <f>Modelo_final_tipificado!D48</f>
        <v>69.499782072829134</v>
      </c>
      <c r="C145" s="26">
        <f>Modelo_final_tipificado!E48</f>
        <v>70.798305742296918</v>
      </c>
      <c r="D145" s="26">
        <f>Modelo_final_tipificado!F48</f>
        <v>1.298523669467784</v>
      </c>
      <c r="E145" s="26"/>
      <c r="F145" s="26">
        <f>Modelo_final_tipificado!G48</f>
        <v>-6.8866856490204728E-2</v>
      </c>
      <c r="G145" s="26">
        <f>Modelo_final_tipificado!H48</f>
        <v>-0.43265022213309712</v>
      </c>
      <c r="H145" s="26">
        <f>Modelo_final_tipificado!I48</f>
        <v>-3.9812040218825699E-3</v>
      </c>
      <c r="I145" s="26">
        <f>Modelo_final_tipificado!J48</f>
        <v>-0.84913339531866117</v>
      </c>
      <c r="J145" s="26">
        <f>Modelo_final_tipificado!K48</f>
        <v>-0.73694105230280293</v>
      </c>
      <c r="K145" s="26">
        <f>Modelo_final_tipificado!L48</f>
        <v>-0.50561400633009312</v>
      </c>
    </row>
    <row r="146" spans="1:11" x14ac:dyDescent="0.2">
      <c r="A146" s="26">
        <f>Modelo_final_tipificado!C49</f>
        <v>73.520244764610396</v>
      </c>
      <c r="B146" s="26">
        <f>Modelo_final_tipificado!D49</f>
        <v>79.082358928571409</v>
      </c>
      <c r="C146" s="26">
        <f>Modelo_final_tipificado!E49</f>
        <v>78.765586249045086</v>
      </c>
      <c r="D146" s="26">
        <f>Modelo_final_tipificado!F49</f>
        <v>-0.31677267952632349</v>
      </c>
      <c r="E146" s="26"/>
      <c r="F146" s="26">
        <f>Modelo_final_tipificado!G49</f>
        <v>-0.84853158177480859</v>
      </c>
      <c r="G146" s="26">
        <f>Modelo_final_tipificado!H49</f>
        <v>-1.1582973439604149</v>
      </c>
      <c r="H146" s="26">
        <f>Modelo_final_tipificado!I49</f>
        <v>1.5472515851027311</v>
      </c>
      <c r="I146" s="26">
        <f>Modelo_final_tipificado!J49</f>
        <v>0.28828949234677459</v>
      </c>
      <c r="J146" s="26">
        <f>Modelo_final_tipificado!K49</f>
        <v>-0.75914284851799674</v>
      </c>
      <c r="K146" s="26">
        <f>Modelo_final_tipificado!L49</f>
        <v>0.33756598845758579</v>
      </c>
    </row>
    <row r="147" spans="1:11" x14ac:dyDescent="0.2">
      <c r="A147" s="26">
        <f>Modelo_final_tipificado!C50</f>
        <v>63.197145597205832</v>
      </c>
      <c r="B147" s="26">
        <f>Modelo_final_tipificado!D50</f>
        <v>66.094866734307374</v>
      </c>
      <c r="C147" s="26">
        <f>Modelo_final_tipificado!E50</f>
        <v>66.749046867838047</v>
      </c>
      <c r="D147" s="26">
        <f>Modelo_final_tipificado!F50</f>
        <v>0.65418013353067295</v>
      </c>
      <c r="E147" s="26"/>
      <c r="F147" s="26">
        <f>Modelo_final_tipificado!G50</f>
        <v>-0.79155276581747225</v>
      </c>
      <c r="G147" s="26">
        <f>Modelo_final_tipificado!H50</f>
        <v>-0.93503908023731397</v>
      </c>
      <c r="H147" s="26">
        <f>Modelo_final_tipificado!I50</f>
        <v>0.31053054451582451</v>
      </c>
      <c r="I147" s="26">
        <f>Modelo_final_tipificado!J50</f>
        <v>1.4388296883885919E-2</v>
      </c>
      <c r="J147" s="26">
        <f>Modelo_final_tipificado!K50</f>
        <v>-0.89424682768636987</v>
      </c>
      <c r="K147" s="26">
        <f>Modelo_final_tipificado!L50</f>
        <v>0.4399613650982247</v>
      </c>
    </row>
    <row r="148" spans="1:11" x14ac:dyDescent="0.2">
      <c r="A148" s="26">
        <f>Modelo_final_tipificado!C51</f>
        <v>77.741634782775165</v>
      </c>
      <c r="B148" s="26">
        <f>Modelo_final_tipificado!D51</f>
        <v>79.539145056903905</v>
      </c>
      <c r="C148" s="26">
        <f>Modelo_final_tipificado!E51</f>
        <v>79.981429837482779</v>
      </c>
      <c r="D148" s="26">
        <f>Modelo_final_tipificado!F51</f>
        <v>0.44228478057887338</v>
      </c>
      <c r="E148" s="26"/>
      <c r="F148" s="26">
        <f>Modelo_final_tipificado!G51</f>
        <v>1.140992856480036</v>
      </c>
      <c r="G148" s="26">
        <f>Modelo_final_tipificado!H51</f>
        <v>1.4872509665051239</v>
      </c>
      <c r="H148" s="26">
        <f>Modelo_final_tipificado!I51</f>
        <v>0.46336852631894881</v>
      </c>
      <c r="I148" s="26">
        <f>Modelo_final_tipificado!J51</f>
        <v>0.73332845217780629</v>
      </c>
      <c r="J148" s="26">
        <f>Modelo_final_tipificado!K51</f>
        <v>0.82339866622269353</v>
      </c>
      <c r="K148" s="26">
        <f>Modelo_final_tipificado!L51</f>
        <v>0.85976479251196958</v>
      </c>
    </row>
    <row r="149" spans="1:11" x14ac:dyDescent="0.2">
      <c r="A149" s="26">
        <f>Modelo_final_tipificado!C52</f>
        <v>80.887872769201991</v>
      </c>
      <c r="B149" s="26">
        <f>Modelo_final_tipificado!D52</f>
        <v>82.33344372686139</v>
      </c>
      <c r="C149" s="26">
        <f>Modelo_final_tipificado!E52</f>
        <v>82.720585497998741</v>
      </c>
      <c r="D149" s="26">
        <f>Modelo_final_tipificado!F52</f>
        <v>0.38714177113735099</v>
      </c>
      <c r="E149" s="26"/>
      <c r="F149" s="26">
        <f>Modelo_final_tipificado!G52</f>
        <v>1.483509273243063</v>
      </c>
      <c r="G149" s="26">
        <f>Modelo_final_tipificado!H52</f>
        <v>1.5274658669439061</v>
      </c>
      <c r="H149" s="26">
        <f>Modelo_final_tipificado!I52</f>
        <v>2.0971319946644651</v>
      </c>
      <c r="I149" s="26">
        <f>Modelo_final_tipificado!J52</f>
        <v>1.030186493507387</v>
      </c>
      <c r="J149" s="26">
        <f>Modelo_final_tipificado!K52</f>
        <v>0.6359995688241763</v>
      </c>
      <c r="K149" s="26">
        <f>Modelo_final_tipificado!L52</f>
        <v>-0.36818137184916661</v>
      </c>
    </row>
    <row r="150" spans="1:11" x14ac:dyDescent="0.2">
      <c r="A150" s="26">
        <f>Modelo_final_tipificado!C53</f>
        <v>52.856247307290161</v>
      </c>
      <c r="B150" s="26">
        <f>Modelo_final_tipificado!D53</f>
        <v>56.488213862281512</v>
      </c>
      <c r="C150" s="26">
        <f>Modelo_final_tipificado!E53</f>
        <v>56.966132850646083</v>
      </c>
      <c r="D150" s="26">
        <f>Modelo_final_tipificado!F53</f>
        <v>0.47791898836457142</v>
      </c>
      <c r="E150" s="26"/>
      <c r="F150" s="26">
        <f>Modelo_final_tipificado!G53</f>
        <v>-1.784100858326275</v>
      </c>
      <c r="G150" s="26">
        <f>Modelo_final_tipificado!H53</f>
        <v>-1.185322620937276</v>
      </c>
      <c r="H150" s="26">
        <f>Modelo_final_tipificado!I53</f>
        <v>-1.9834696823495259</v>
      </c>
      <c r="I150" s="26">
        <f>Modelo_final_tipificado!J53</f>
        <v>-1.8054097667480771</v>
      </c>
      <c r="J150" s="26">
        <f>Modelo_final_tipificado!K53</f>
        <v>-0.85578407693637359</v>
      </c>
      <c r="K150" s="26">
        <f>Modelo_final_tipificado!L53</f>
        <v>-1.1117251235183661</v>
      </c>
    </row>
    <row r="151" spans="1:11" x14ac:dyDescent="0.2">
      <c r="A151" s="26">
        <f>Modelo_final_tipificado!C54</f>
        <v>64.068159244023022</v>
      </c>
      <c r="B151" s="26">
        <f>Modelo_final_tipificado!D54</f>
        <v>68.458757379599575</v>
      </c>
      <c r="C151" s="26">
        <f>Modelo_final_tipificado!E54</f>
        <v>68.12603140013583</v>
      </c>
      <c r="D151" s="26">
        <f>Modelo_final_tipificado!F54</f>
        <v>-0.3327259794637456</v>
      </c>
      <c r="E151" s="26"/>
      <c r="F151" s="26">
        <f>Modelo_final_tipificado!G54</f>
        <v>-0.61633336612648004</v>
      </c>
      <c r="G151" s="26">
        <f>Modelo_final_tipificado!H54</f>
        <v>-1.421264579132641</v>
      </c>
      <c r="H151" s="26">
        <f>Modelo_final_tipificado!I54</f>
        <v>-1.003662286026261</v>
      </c>
      <c r="I151" s="26">
        <f>Modelo_final_tipificado!J54</f>
        <v>-1.356402141202846</v>
      </c>
      <c r="J151" s="26">
        <f>Modelo_final_tipificado!K54</f>
        <v>-1.010555987923824</v>
      </c>
      <c r="K151" s="26">
        <f>Modelo_final_tipificado!L54</f>
        <v>-0.27464996286352761</v>
      </c>
    </row>
    <row r="152" spans="1:11" x14ac:dyDescent="0.2">
      <c r="A152" s="26">
        <f>Modelo_final_tipificado!C55</f>
        <v>66.37827426711732</v>
      </c>
      <c r="B152" s="26">
        <f>Modelo_final_tipificado!D55</f>
        <v>72.049185603938554</v>
      </c>
      <c r="C152" s="26">
        <f>Modelo_final_tipificado!E55</f>
        <v>72.669447239198718</v>
      </c>
      <c r="D152" s="26">
        <f>Modelo_final_tipificado!F55</f>
        <v>0.62026163526016376</v>
      </c>
      <c r="E152" s="26"/>
      <c r="F152" s="26">
        <f>Modelo_final_tipificado!G55</f>
        <v>-0.68044566773729964</v>
      </c>
      <c r="G152" s="26">
        <f>Modelo_final_tipificado!H55</f>
        <v>-0.8940425704474767</v>
      </c>
      <c r="H152" s="26">
        <f>Modelo_final_tipificado!I55</f>
        <v>-1.046479765796996</v>
      </c>
      <c r="I152" s="26">
        <f>Modelo_final_tipificado!J55</f>
        <v>-1.5071455611515401</v>
      </c>
      <c r="J152" s="26">
        <f>Modelo_final_tipificado!K55</f>
        <v>-0.98606517641509095</v>
      </c>
      <c r="K152" s="26">
        <f>Modelo_final_tipificado!L55</f>
        <v>-0.77414126043458831</v>
      </c>
    </row>
    <row r="153" spans="1:11" x14ac:dyDescent="0.2">
      <c r="A153" s="26">
        <f>Modelo_final_tipificado!C56</f>
        <v>61.406132770987178</v>
      </c>
      <c r="B153" s="26">
        <f>Modelo_final_tipificado!D56</f>
        <v>66.726128127917832</v>
      </c>
      <c r="C153" s="26">
        <f>Modelo_final_tipificado!E56</f>
        <v>68.335205298786192</v>
      </c>
      <c r="D153" s="26">
        <f>Modelo_final_tipificado!F56</f>
        <v>1.60907717086836</v>
      </c>
      <c r="E153" s="26"/>
      <c r="F153" s="26">
        <f>Modelo_final_tipificado!G56</f>
        <v>-1.316476486588261</v>
      </c>
      <c r="G153" s="26">
        <f>Modelo_final_tipificado!H56</f>
        <v>-0.46004106029966418</v>
      </c>
      <c r="H153" s="26">
        <f>Modelo_final_tipificado!I56</f>
        <v>-1.243053702139185</v>
      </c>
      <c r="I153" s="26">
        <f>Modelo_final_tipificado!J56</f>
        <v>-1.3792123085464001</v>
      </c>
      <c r="J153" s="26">
        <f>Modelo_final_tipificado!K56</f>
        <v>-0.95860002607366324</v>
      </c>
      <c r="K153" s="26">
        <f>Modelo_final_tipificado!L56</f>
        <v>-0.36052686050906307</v>
      </c>
    </row>
    <row r="154" spans="1:11" x14ac:dyDescent="0.2">
      <c r="A154" s="26">
        <f>Modelo_final_tipificado!C57</f>
        <v>77.761200376806798</v>
      </c>
      <c r="B154" s="26">
        <f>Modelo_final_tipificado!D57</f>
        <v>81.106078088578087</v>
      </c>
      <c r="C154" s="26">
        <f>Modelo_final_tipificado!E57</f>
        <v>82.082900944480372</v>
      </c>
      <c r="D154" s="26">
        <f>Modelo_final_tipificado!F57</f>
        <v>0.97682285590228446</v>
      </c>
      <c r="E154" s="26"/>
      <c r="F154" s="26">
        <f>Modelo_final_tipificado!G57</f>
        <v>0.26300236878016531</v>
      </c>
      <c r="G154" s="26">
        <f>Modelo_final_tipificado!H57</f>
        <v>7.2634829734621889E-2</v>
      </c>
      <c r="H154" s="26">
        <f>Modelo_final_tipificado!I57</f>
        <v>0.30366392062867442</v>
      </c>
      <c r="I154" s="26">
        <f>Modelo_final_tipificado!J57</f>
        <v>0.46192477745085031</v>
      </c>
      <c r="J154" s="26">
        <f>Modelo_final_tipificado!K57</f>
        <v>-0.27027596277486382</v>
      </c>
      <c r="K154" s="26">
        <f>Modelo_final_tipificado!L57</f>
        <v>-0.11414008092574771</v>
      </c>
    </row>
    <row r="155" spans="1:11" x14ac:dyDescent="0.2">
      <c r="A155" s="26">
        <f>Modelo_final_tipificado!C58</f>
        <v>76.431313123210714</v>
      </c>
      <c r="B155" s="26">
        <f>Modelo_final_tipificado!D58</f>
        <v>80.55832316017316</v>
      </c>
      <c r="C155" s="26">
        <f>Modelo_final_tipificado!E58</f>
        <v>80.640692668279442</v>
      </c>
      <c r="D155" s="26">
        <f>Modelo_final_tipificado!F58</f>
        <v>8.2369508106282296E-2</v>
      </c>
      <c r="E155" s="26"/>
      <c r="F155" s="26">
        <f>Modelo_final_tipificado!G58</f>
        <v>0.55814371597249157</v>
      </c>
      <c r="G155" s="26">
        <f>Modelo_final_tipificado!H58</f>
        <v>0.65273034685607756</v>
      </c>
      <c r="H155" s="26">
        <f>Modelo_final_tipificado!I58</f>
        <v>0.3781867882892635</v>
      </c>
      <c r="I155" s="26">
        <f>Modelo_final_tipificado!J58</f>
        <v>8.618333288140903E-2</v>
      </c>
      <c r="J155" s="26">
        <f>Modelo_final_tipificado!K58</f>
        <v>8.8994293069879341E-2</v>
      </c>
      <c r="K155" s="26">
        <f>Modelo_final_tipificado!L58</f>
        <v>-0.30790981006707208</v>
      </c>
    </row>
    <row r="156" spans="1:11" x14ac:dyDescent="0.2">
      <c r="A156" s="26">
        <f>Modelo_final_tipificado!C59</f>
        <v>73.567726821789321</v>
      </c>
      <c r="B156" s="26">
        <f>Modelo_final_tipificado!D59</f>
        <v>77.555410224089641</v>
      </c>
      <c r="C156" s="26">
        <f>Modelo_final_tipificado!E59</f>
        <v>77.672961531279185</v>
      </c>
      <c r="D156" s="26">
        <f>Modelo_final_tipificado!F59</f>
        <v>0.1175513071895438</v>
      </c>
      <c r="E156" s="26"/>
      <c r="F156" s="26">
        <f>Modelo_final_tipificado!G59</f>
        <v>0.18801335210840281</v>
      </c>
      <c r="G156" s="26">
        <f>Modelo_final_tipificado!H59</f>
        <v>-0.67229847582068814</v>
      </c>
      <c r="H156" s="26">
        <f>Modelo_final_tipificado!I59</f>
        <v>-0.9396962585856693</v>
      </c>
      <c r="I156" s="26">
        <f>Modelo_final_tipificado!J59</f>
        <v>0.15021335642749939</v>
      </c>
      <c r="J156" s="26">
        <f>Modelo_final_tipificado!K59</f>
        <v>-0.6572229782906932</v>
      </c>
      <c r="K156" s="26">
        <f>Modelo_final_tipificado!L59</f>
        <v>-0.34794112394766502</v>
      </c>
    </row>
    <row r="157" spans="1:11" x14ac:dyDescent="0.2">
      <c r="A157" s="26">
        <f>Modelo_final_tipificado!C60</f>
        <v>70.879759933204056</v>
      </c>
      <c r="B157" s="26">
        <f>Modelo_final_tipificado!D60</f>
        <v>74.343976438267617</v>
      </c>
      <c r="C157" s="26">
        <f>Modelo_final_tipificado!E60</f>
        <v>74.125948516842641</v>
      </c>
      <c r="D157" s="26">
        <f>Modelo_final_tipificado!F60</f>
        <v>-0.21802792142497651</v>
      </c>
      <c r="E157" s="26"/>
      <c r="F157" s="26">
        <f>Modelo_final_tipificado!G60</f>
        <v>0.40680694834620829</v>
      </c>
      <c r="G157" s="26">
        <f>Modelo_final_tipificado!H60</f>
        <v>-0.90431543159991501</v>
      </c>
      <c r="H157" s="26">
        <f>Modelo_final_tipificado!I60</f>
        <v>-0.58695818614381923</v>
      </c>
      <c r="I157" s="26">
        <f>Modelo_final_tipificado!J60</f>
        <v>0.88230142641067988</v>
      </c>
      <c r="J157" s="26">
        <f>Modelo_final_tipificado!K60</f>
        <v>-1.178969410406005E-2</v>
      </c>
      <c r="K157" s="26">
        <f>Modelo_final_tipificado!L60</f>
        <v>-0.68279060754154375</v>
      </c>
    </row>
    <row r="158" spans="1:11" x14ac:dyDescent="0.2">
      <c r="A158" s="26">
        <f>Modelo_final_tipificado!C61</f>
        <v>73.740563909898498</v>
      </c>
      <c r="B158" s="26">
        <f>Modelo_final_tipificado!D61</f>
        <v>78.961247767857131</v>
      </c>
      <c r="C158" s="26">
        <f>Modelo_final_tipificado!E61</f>
        <v>78.161264463967413</v>
      </c>
      <c r="D158" s="26">
        <f>Modelo_final_tipificado!F61</f>
        <v>-0.79998330388971794</v>
      </c>
      <c r="E158" s="26"/>
      <c r="F158" s="26">
        <f>Modelo_final_tipificado!G61</f>
        <v>-0.26894490947468008</v>
      </c>
      <c r="G158" s="26">
        <f>Modelo_final_tipificado!H61</f>
        <v>-0.69788252820133601</v>
      </c>
      <c r="H158" s="26">
        <f>Modelo_final_tipificado!I61</f>
        <v>-0.70858036586389817</v>
      </c>
      <c r="I158" s="26">
        <f>Modelo_final_tipificado!J61</f>
        <v>-4.8740765418523173E-2</v>
      </c>
      <c r="J158" s="26">
        <f>Modelo_final_tipificado!K61</f>
        <v>-0.40843415502934388</v>
      </c>
      <c r="K158" s="26">
        <f>Modelo_final_tipificado!L61</f>
        <v>-0.199317137056611</v>
      </c>
    </row>
    <row r="159" spans="1:11" x14ac:dyDescent="0.2">
      <c r="A159" s="26">
        <f>Modelo_final_tipificado!C62</f>
        <v>67.496133502885996</v>
      </c>
      <c r="B159" s="26">
        <f>Modelo_final_tipificado!D62</f>
        <v>68.802425317460333</v>
      </c>
      <c r="C159" s="26">
        <f>Modelo_final_tipificado!E62</f>
        <v>71.543615668767529</v>
      </c>
      <c r="D159" s="26">
        <f>Modelo_final_tipificado!F62</f>
        <v>2.7411903513071958</v>
      </c>
      <c r="E159" s="26"/>
      <c r="F159" s="26">
        <f>Modelo_final_tipificado!G62</f>
        <v>1.6301909870754621</v>
      </c>
      <c r="G159" s="26">
        <f>Modelo_final_tipificado!H62</f>
        <v>1.87502244215713</v>
      </c>
      <c r="H159" s="26">
        <f>Modelo_final_tipificado!I62</f>
        <v>-1.1880467593704429</v>
      </c>
      <c r="I159" s="26">
        <f>Modelo_final_tipificado!J62</f>
        <v>1.001134765630874</v>
      </c>
      <c r="J159" s="26">
        <f>Modelo_final_tipificado!K62</f>
        <v>0.94178292185109314</v>
      </c>
      <c r="K159" s="26">
        <f>Modelo_final_tipificado!L62</f>
        <v>4.8796012363868178</v>
      </c>
    </row>
    <row r="160" spans="1:11" x14ac:dyDescent="0.2">
      <c r="A160" s="26">
        <f>Modelo_final_tipificado!C63</f>
        <v>78.226170242912076</v>
      </c>
      <c r="B160" s="26">
        <f>Modelo_final_tipificado!D63</f>
        <v>80.839402238906914</v>
      </c>
      <c r="C160" s="26">
        <f>Modelo_final_tipificado!E63</f>
        <v>80.774353010143471</v>
      </c>
      <c r="D160" s="26">
        <f>Modelo_final_tipificado!F63</f>
        <v>-6.5049228763442102E-2</v>
      </c>
      <c r="E160" s="26"/>
      <c r="F160" s="26">
        <f>Modelo_final_tipificado!G63</f>
        <v>0.30600694572326997</v>
      </c>
      <c r="G160" s="26">
        <f>Modelo_final_tipificado!H63</f>
        <v>0.27873112639241121</v>
      </c>
      <c r="H160" s="26">
        <f>Modelo_final_tipificado!I63</f>
        <v>-0.42419155095654931</v>
      </c>
      <c r="I160" s="26">
        <f>Modelo_final_tipificado!J63</f>
        <v>-4.9775635600157507E-3</v>
      </c>
      <c r="J160" s="26">
        <f>Modelo_final_tipificado!K63</f>
        <v>-0.41123998962354752</v>
      </c>
      <c r="K160" s="26">
        <f>Modelo_final_tipificado!L63</f>
        <v>1.2520313042246041</v>
      </c>
    </row>
    <row r="161" spans="1:11" x14ac:dyDescent="0.2">
      <c r="A161" s="26">
        <f>Modelo_final_tipificado!C64</f>
        <v>78.295925694106842</v>
      </c>
      <c r="B161" s="26">
        <f>Modelo_final_tipificado!D64</f>
        <v>80.29760544520839</v>
      </c>
      <c r="C161" s="26">
        <f>Modelo_final_tipificado!E64</f>
        <v>81.205378471691688</v>
      </c>
      <c r="D161" s="26">
        <f>Modelo_final_tipificado!F64</f>
        <v>0.90777302648329794</v>
      </c>
      <c r="E161" s="26"/>
      <c r="F161" s="26">
        <f>Modelo_final_tipificado!G64</f>
        <v>0.60338538470009773</v>
      </c>
      <c r="G161" s="26">
        <f>Modelo_final_tipificado!H64</f>
        <v>0.57770935997142936</v>
      </c>
      <c r="H161" s="26">
        <f>Modelo_final_tipificado!I64</f>
        <v>0.65350820049854752</v>
      </c>
      <c r="I161" s="26">
        <f>Modelo_final_tipificado!J64</f>
        <v>0.81629781267822066</v>
      </c>
      <c r="J161" s="26">
        <f>Modelo_final_tipificado!K64</f>
        <v>0.75062057948435512</v>
      </c>
      <c r="K161" s="26">
        <f>Modelo_final_tipificado!L64</f>
        <v>0.79100413746546583</v>
      </c>
    </row>
    <row r="162" spans="1:11" x14ac:dyDescent="0.2">
      <c r="A162" s="26">
        <f>Modelo_final_tipificado!C65</f>
        <v>59.179360636155288</v>
      </c>
      <c r="B162" s="26">
        <f>Modelo_final_tipificado!D65</f>
        <v>63.849057189542478</v>
      </c>
      <c r="C162" s="26">
        <f>Modelo_final_tipificado!E65</f>
        <v>64.114309451659452</v>
      </c>
      <c r="D162" s="26">
        <f>Modelo_final_tipificado!F65</f>
        <v>0.26525226211697372</v>
      </c>
      <c r="E162" s="26"/>
      <c r="F162" s="26">
        <f>Modelo_final_tipificado!G65</f>
        <v>-0.53338075272990049</v>
      </c>
      <c r="G162" s="26">
        <f>Modelo_final_tipificado!H65</f>
        <v>-0.19687449751294339</v>
      </c>
      <c r="H162" s="26">
        <f>Modelo_final_tipificado!I65</f>
        <v>0.45737733340310349</v>
      </c>
      <c r="I162" s="26">
        <f>Modelo_final_tipificado!J65</f>
        <v>-0.49808222495962712</v>
      </c>
      <c r="J162" s="26">
        <f>Modelo_final_tipificado!K65</f>
        <v>-0.40122240056663039</v>
      </c>
      <c r="K162" s="26">
        <f>Modelo_final_tipificado!L65</f>
        <v>-0.66223378121400922</v>
      </c>
    </row>
    <row r="163" spans="1:11" x14ac:dyDescent="0.2">
      <c r="A163" s="26">
        <f>Modelo_final_tipificado!C66</f>
        <v>77.393002599138839</v>
      </c>
      <c r="B163" s="26">
        <f>Modelo_final_tipificado!D66</f>
        <v>80.72812724089637</v>
      </c>
      <c r="C163" s="26">
        <f>Modelo_final_tipificado!E66</f>
        <v>81.03786423266277</v>
      </c>
      <c r="D163" s="26">
        <f>Modelo_final_tipificado!F66</f>
        <v>0.30973699176639968</v>
      </c>
      <c r="E163" s="26"/>
      <c r="F163" s="26">
        <f>Modelo_final_tipificado!G66</f>
        <v>0.7436208245056527</v>
      </c>
      <c r="G163" s="26">
        <f>Modelo_final_tipificado!H66</f>
        <v>0.74605508069737136</v>
      </c>
      <c r="H163" s="26">
        <f>Modelo_final_tipificado!I66</f>
        <v>-0.17085170376002959</v>
      </c>
      <c r="I163" s="26">
        <f>Modelo_final_tipificado!J66</f>
        <v>0.25819687884910342</v>
      </c>
      <c r="J163" s="26">
        <f>Modelo_final_tipificado!K66</f>
        <v>9.3030788599536104E-2</v>
      </c>
      <c r="K163" s="26">
        <f>Modelo_final_tipificado!L66</f>
        <v>-0.55904644211814902</v>
      </c>
    </row>
    <row r="164" spans="1:11" x14ac:dyDescent="0.2">
      <c r="A164" s="26">
        <f>Modelo_final_tipificado!C67</f>
        <v>85.203854344823327</v>
      </c>
      <c r="B164" s="26">
        <f>Modelo_final_tipificado!D67</f>
        <v>85.553876578813359</v>
      </c>
      <c r="C164" s="26">
        <f>Modelo_final_tipificado!E67</f>
        <v>85.74132986588576</v>
      </c>
      <c r="D164" s="26">
        <f>Modelo_final_tipificado!F67</f>
        <v>0.18745328707240111</v>
      </c>
      <c r="E164" s="26"/>
      <c r="F164" s="26">
        <f>Modelo_final_tipificado!G67</f>
        <v>1.035297497390137</v>
      </c>
      <c r="G164" s="26">
        <f>Modelo_final_tipificado!H67</f>
        <v>1.4933276052604501</v>
      </c>
      <c r="H164" s="26">
        <f>Modelo_final_tipificado!I67</f>
        <v>2.0021128938029622</v>
      </c>
      <c r="I164" s="26">
        <f>Modelo_final_tipificado!J67</f>
        <v>1.1009419838224039</v>
      </c>
      <c r="J164" s="26">
        <f>Modelo_final_tipificado!K67</f>
        <v>2.2358169641429959</v>
      </c>
      <c r="K164" s="26">
        <f>Modelo_final_tipificado!L67</f>
        <v>-0.1006085974693465</v>
      </c>
    </row>
    <row r="165" spans="1:11" x14ac:dyDescent="0.2">
      <c r="A165" s="26">
        <f>Modelo_final_tipificado!C68</f>
        <v>78.178930714511182</v>
      </c>
      <c r="B165" s="26">
        <f>Modelo_final_tipificado!D68</f>
        <v>79.638514018620285</v>
      </c>
      <c r="C165" s="26">
        <f>Modelo_final_tipificado!E68</f>
        <v>79.155207456187625</v>
      </c>
      <c r="D165" s="26">
        <f>Modelo_final_tipificado!F68</f>
        <v>-0.48330656243265929</v>
      </c>
      <c r="E165" s="26"/>
      <c r="F165" s="26">
        <f>Modelo_final_tipificado!G68</f>
        <v>1.3393425346642891</v>
      </c>
      <c r="G165" s="26">
        <f>Modelo_final_tipificado!H68</f>
        <v>1.62371870664088</v>
      </c>
      <c r="H165" s="26">
        <f>Modelo_final_tipificado!I68</f>
        <v>0.31227610809722789</v>
      </c>
      <c r="I165" s="26">
        <f>Modelo_final_tipificado!J68</f>
        <v>0.9600868015995645</v>
      </c>
      <c r="J165" s="26">
        <f>Modelo_final_tipificado!K68</f>
        <v>1.7643524326017199</v>
      </c>
      <c r="K165" s="26">
        <f>Modelo_final_tipificado!L68</f>
        <v>0.42507955646827839</v>
      </c>
    </row>
    <row r="166" spans="1:11" x14ac:dyDescent="0.2">
      <c r="A166" s="26">
        <f>Modelo_final_tipificado!C69</f>
        <v>64.555797451073232</v>
      </c>
      <c r="B166" s="26">
        <f>Modelo_final_tipificado!D69</f>
        <v>67.881436433531761</v>
      </c>
      <c r="C166" s="26">
        <f>Modelo_final_tipificado!E69</f>
        <v>68.269929993209402</v>
      </c>
      <c r="D166" s="26">
        <f>Modelo_final_tipificado!F69</f>
        <v>0.38849355967764149</v>
      </c>
      <c r="E166" s="26"/>
      <c r="F166" s="26">
        <f>Modelo_final_tipificado!G69</f>
        <v>-2.3706045853209439</v>
      </c>
      <c r="G166" s="26">
        <f>Modelo_final_tipificado!H69</f>
        <v>-1.60727257152192</v>
      </c>
      <c r="H166" s="26">
        <f>Modelo_final_tipificado!I69</f>
        <v>-0.38757290733437427</v>
      </c>
      <c r="I166" s="26">
        <f>Modelo_final_tipificado!J69</f>
        <v>-1.334728979250372</v>
      </c>
      <c r="J166" s="26">
        <f>Modelo_final_tipificado!K69</f>
        <v>-1.0090781629120049</v>
      </c>
      <c r="K166" s="26">
        <f>Modelo_final_tipificado!L69</f>
        <v>9.2963841698601973E-2</v>
      </c>
    </row>
    <row r="167" spans="1:11" x14ac:dyDescent="0.2">
      <c r="A167" s="26">
        <f>Modelo_final_tipificado!C70</f>
        <v>70.469826709320103</v>
      </c>
      <c r="B167" s="26">
        <f>Modelo_final_tipificado!D70</f>
        <v>74.485278151260516</v>
      </c>
      <c r="C167" s="26">
        <f>Modelo_final_tipificado!E70</f>
        <v>75.34208613445378</v>
      </c>
      <c r="D167" s="26">
        <f>Modelo_final_tipificado!F70</f>
        <v>0.85680798319326357</v>
      </c>
      <c r="E167" s="26"/>
      <c r="F167" s="26">
        <f>Modelo_final_tipificado!G70</f>
        <v>-0.30170629140549288</v>
      </c>
      <c r="G167" s="26">
        <f>Modelo_final_tipificado!H70</f>
        <v>-0.2454514806225411</v>
      </c>
      <c r="H167" s="26">
        <f>Modelo_final_tipificado!I70</f>
        <v>-0.57152900000322349</v>
      </c>
      <c r="I167" s="26">
        <f>Modelo_final_tipificado!J70</f>
        <v>-0.58071455443346387</v>
      </c>
      <c r="J167" s="26">
        <f>Modelo_final_tipificado!K70</f>
        <v>-0.56670732394839562</v>
      </c>
      <c r="K167" s="26">
        <f>Modelo_final_tipificado!L70</f>
        <v>0.61334744330647095</v>
      </c>
    </row>
    <row r="168" spans="1:11" x14ac:dyDescent="0.2">
      <c r="A168" s="26">
        <f>Modelo_final_tipificado!C71</f>
        <v>68.812370051064505</v>
      </c>
      <c r="B168" s="26">
        <f>Modelo_final_tipificado!D71</f>
        <v>72.550836038961052</v>
      </c>
      <c r="C168" s="26">
        <f>Modelo_final_tipificado!E71</f>
        <v>72.000996451914105</v>
      </c>
      <c r="D168" s="26">
        <f>Modelo_final_tipificado!F71</f>
        <v>-0.54983958704694658</v>
      </c>
      <c r="E168" s="26"/>
      <c r="F168" s="26">
        <f>Modelo_final_tipificado!G71</f>
        <v>-0.70065386059418233</v>
      </c>
      <c r="G168" s="26">
        <f>Modelo_final_tipificado!H71</f>
        <v>-0.32912870083674611</v>
      </c>
      <c r="H168" s="26">
        <f>Modelo_final_tipificado!I71</f>
        <v>1.452816121195559</v>
      </c>
      <c r="I168" s="26">
        <f>Modelo_final_tipificado!J71</f>
        <v>-0.76402295564258382</v>
      </c>
      <c r="J168" s="26">
        <f>Modelo_final_tipificado!K71</f>
        <v>-0.4457166307087847</v>
      </c>
      <c r="K168" s="26">
        <f>Modelo_final_tipificado!L71</f>
        <v>6.9444802410161127E-2</v>
      </c>
    </row>
    <row r="169" spans="1:11" x14ac:dyDescent="0.2">
      <c r="A169" s="26">
        <f>Modelo_final_tipificado!C72</f>
        <v>71.653130063828215</v>
      </c>
      <c r="B169" s="26">
        <f>Modelo_final_tipificado!D72</f>
        <v>74.616302624458868</v>
      </c>
      <c r="C169" s="26">
        <f>Modelo_final_tipificado!E72</f>
        <v>75.744366609371014</v>
      </c>
      <c r="D169" s="26">
        <f>Modelo_final_tipificado!F72</f>
        <v>1.1280639849121461</v>
      </c>
      <c r="E169" s="26"/>
      <c r="F169" s="26">
        <f>Modelo_final_tipificado!G72</f>
        <v>-0.35138424777997218</v>
      </c>
      <c r="G169" s="26">
        <f>Modelo_final_tipificado!H72</f>
        <v>-1.15873171426808</v>
      </c>
      <c r="H169" s="26">
        <f>Modelo_final_tipificado!I72</f>
        <v>0.79920144904519985</v>
      </c>
      <c r="I169" s="26">
        <f>Modelo_final_tipificado!J72</f>
        <v>0.26578448052512033</v>
      </c>
      <c r="J169" s="26">
        <f>Modelo_final_tipificado!K72</f>
        <v>-0.3691294127723212</v>
      </c>
      <c r="K169" s="26">
        <f>Modelo_final_tipificado!L72</f>
        <v>0.12712364799985779</v>
      </c>
    </row>
    <row r="170" spans="1:11" x14ac:dyDescent="0.2">
      <c r="A170" s="26">
        <f>Modelo_final_tipificado!C73</f>
        <v>79.023619057747069</v>
      </c>
      <c r="B170" s="26">
        <f>Modelo_final_tipificado!D73</f>
        <v>81.770087564722871</v>
      </c>
      <c r="C170" s="26">
        <f>Modelo_final_tipificado!E73</f>
        <v>81.854334551396335</v>
      </c>
      <c r="D170" s="26">
        <f>Modelo_final_tipificado!F73</f>
        <v>8.4246986673463198E-2</v>
      </c>
      <c r="E170" s="26"/>
      <c r="F170" s="26">
        <f>Modelo_final_tipificado!G73</f>
        <v>0.86226409651782432</v>
      </c>
      <c r="G170" s="26">
        <f>Modelo_final_tipificado!H73</f>
        <v>1.227907963459981</v>
      </c>
      <c r="H170" s="26">
        <f>Modelo_final_tipificado!I73</f>
        <v>0.44510832112863608</v>
      </c>
      <c r="I170" s="26">
        <f>Modelo_final_tipificado!J73</f>
        <v>1.102267332585654</v>
      </c>
      <c r="J170" s="26">
        <f>Modelo_final_tipificado!K73</f>
        <v>0.83445562575151144</v>
      </c>
      <c r="K170" s="26">
        <f>Modelo_final_tipificado!L73</f>
        <v>-0.59081226062668746</v>
      </c>
    </row>
    <row r="171" spans="1:11" x14ac:dyDescent="0.2">
      <c r="A171" s="26">
        <f>Modelo_final_tipificado!C74</f>
        <v>73.151430352290319</v>
      </c>
      <c r="B171" s="26">
        <f>Modelo_final_tipificado!D74</f>
        <v>75.177822954006785</v>
      </c>
      <c r="C171" s="26">
        <f>Modelo_final_tipificado!E74</f>
        <v>75.191668542242056</v>
      </c>
      <c r="D171" s="26">
        <f>Modelo_final_tipificado!F74</f>
        <v>1.384558823527016E-2</v>
      </c>
      <c r="E171" s="26"/>
      <c r="F171" s="26">
        <f>Modelo_final_tipificado!G74</f>
        <v>1.1402985107725849</v>
      </c>
      <c r="G171" s="26">
        <f>Modelo_final_tipificado!H74</f>
        <v>1.155307714732724</v>
      </c>
      <c r="H171" s="26">
        <f>Modelo_final_tipificado!I74</f>
        <v>0.39578991977484879</v>
      </c>
      <c r="I171" s="26">
        <f>Modelo_final_tipificado!J74</f>
        <v>1.755792250930718</v>
      </c>
      <c r="J171" s="26">
        <f>Modelo_final_tipificado!K74</f>
        <v>1.6603475679464561</v>
      </c>
      <c r="K171" s="26">
        <f>Modelo_final_tipificado!L74</f>
        <v>-1.140147043686446</v>
      </c>
    </row>
    <row r="172" spans="1:11" x14ac:dyDescent="0.2">
      <c r="A172" s="26">
        <f>Modelo_final_tipificado!C75</f>
        <v>73.02071866150041</v>
      </c>
      <c r="B172" s="26">
        <f>Modelo_final_tipificado!D75</f>
        <v>77.02047282064342</v>
      </c>
      <c r="C172" s="26">
        <f>Modelo_final_tipificado!E75</f>
        <v>77.400804959256419</v>
      </c>
      <c r="D172" s="26">
        <f>Modelo_final_tipificado!F75</f>
        <v>0.38033213861299942</v>
      </c>
      <c r="E172" s="26"/>
      <c r="F172" s="26">
        <f>Modelo_final_tipificado!G75</f>
        <v>0.10394937916529801</v>
      </c>
      <c r="G172" s="26">
        <f>Modelo_final_tipificado!H75</f>
        <v>6.4805328226864148E-2</v>
      </c>
      <c r="H172" s="26">
        <f>Modelo_final_tipificado!I75</f>
        <v>-0.74506645832396723</v>
      </c>
      <c r="I172" s="26">
        <f>Modelo_final_tipificado!J75</f>
        <v>-0.76920697321783071</v>
      </c>
      <c r="J172" s="26">
        <f>Modelo_final_tipificado!K75</f>
        <v>-0.70609731218853622</v>
      </c>
      <c r="K172" s="26">
        <f>Modelo_final_tipificado!L75</f>
        <v>-0.70049447653335495</v>
      </c>
    </row>
    <row r="173" spans="1:11" x14ac:dyDescent="0.2">
      <c r="A173" s="26">
        <f>Modelo_final_tipificado!C76</f>
        <v>65.213563939619405</v>
      </c>
      <c r="B173" s="26">
        <f>Modelo_final_tipificado!D76</f>
        <v>71.997580481150791</v>
      </c>
      <c r="C173" s="26">
        <f>Modelo_final_tipificado!E76</f>
        <v>73.079578615991863</v>
      </c>
      <c r="D173" s="26">
        <f>Modelo_final_tipificado!F76</f>
        <v>1.0819981348410721</v>
      </c>
      <c r="E173" s="26"/>
      <c r="F173" s="26">
        <f>Modelo_final_tipificado!G76</f>
        <v>-1.4307948818693119</v>
      </c>
      <c r="G173" s="26">
        <f>Modelo_final_tipificado!H76</f>
        <v>-1.408709370165697</v>
      </c>
      <c r="H173" s="26">
        <f>Modelo_final_tipificado!I76</f>
        <v>0.47696272912340171</v>
      </c>
      <c r="I173" s="26">
        <f>Modelo_final_tipificado!J76</f>
        <v>-0.55699520241953637</v>
      </c>
      <c r="J173" s="26">
        <f>Modelo_final_tipificado!K76</f>
        <v>-0.90480510278763249</v>
      </c>
      <c r="K173" s="26">
        <f>Modelo_final_tipificado!L76</f>
        <v>-0.6140983357805615</v>
      </c>
    </row>
    <row r="174" spans="1:11" x14ac:dyDescent="0.2">
      <c r="A174" s="26">
        <f>Modelo_final_tipificado!C77</f>
        <v>49.528428390233508</v>
      </c>
      <c r="B174" s="26">
        <f>Modelo_final_tipificado!D77</f>
        <v>53.59543839060246</v>
      </c>
      <c r="C174" s="26">
        <f>Modelo_final_tipificado!E77</f>
        <v>54.772347647483222</v>
      </c>
      <c r="D174" s="26">
        <f>Modelo_final_tipificado!F77</f>
        <v>1.176909256880762</v>
      </c>
      <c r="E174" s="26"/>
      <c r="F174" s="26">
        <f>Modelo_final_tipificado!G77</f>
        <v>-2.1747096064877032</v>
      </c>
      <c r="G174" s="26">
        <f>Modelo_final_tipificado!H77</f>
        <v>-1.334067187975581</v>
      </c>
      <c r="H174" s="26">
        <f>Modelo_final_tipificado!I77</f>
        <v>-1.029826677458795</v>
      </c>
      <c r="I174" s="26">
        <f>Modelo_final_tipificado!J77</f>
        <v>-1.8473435664640381</v>
      </c>
      <c r="J174" s="26">
        <f>Modelo_final_tipificado!K77</f>
        <v>-1.035020784785875</v>
      </c>
      <c r="K174" s="26">
        <f>Modelo_final_tipificado!L77</f>
        <v>-0.37391578931059172</v>
      </c>
    </row>
  </sheetData>
  <mergeCells count="11">
    <mergeCell ref="A94:N96"/>
    <mergeCell ref="A64:N68"/>
    <mergeCell ref="A71:N71"/>
    <mergeCell ref="A85:N85"/>
    <mergeCell ref="A86:N90"/>
    <mergeCell ref="A93:N93"/>
    <mergeCell ref="A1:N1"/>
    <mergeCell ref="A37:K37"/>
    <mergeCell ref="A52:N52"/>
    <mergeCell ref="A53:N58"/>
    <mergeCell ref="A59:N6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workbookViewId="0">
      <pane ySplit="1" topLeftCell="A2" activePane="bottomLeft" state="frozen"/>
      <selection pane="bottomLeft" activeCell="C16" sqref="C16"/>
    </sheetView>
  </sheetViews>
  <sheetFormatPr baseColWidth="10" defaultColWidth="8.83203125" defaultRowHeight="15" x14ac:dyDescent="0.2"/>
  <cols>
    <col min="1" max="1" width="18" customWidth="1"/>
    <col min="2" max="2" width="90" customWidth="1"/>
    <col min="3" max="3" width="17.5" customWidth="1"/>
  </cols>
  <sheetData>
    <row r="1" spans="1:3" ht="16" x14ac:dyDescent="0.2">
      <c r="A1" s="6" t="s">
        <v>190</v>
      </c>
      <c r="B1" s="6" t="s">
        <v>191</v>
      </c>
    </row>
    <row r="2" spans="1:3" ht="16" x14ac:dyDescent="0.2">
      <c r="A2" s="7">
        <v>1</v>
      </c>
      <c r="B2" s="7" t="s">
        <v>202</v>
      </c>
    </row>
    <row r="3" spans="1:3" ht="16" x14ac:dyDescent="0.2">
      <c r="A3" s="7">
        <v>2</v>
      </c>
      <c r="B3" s="7" t="s">
        <v>203</v>
      </c>
    </row>
    <row r="4" spans="1:3" ht="16" x14ac:dyDescent="0.2">
      <c r="A4" s="7">
        <v>3</v>
      </c>
      <c r="B4" s="7" t="s">
        <v>192</v>
      </c>
    </row>
    <row r="5" spans="1:3" ht="16" x14ac:dyDescent="0.2">
      <c r="A5" s="7">
        <v>4</v>
      </c>
      <c r="B5" s="7" t="s">
        <v>193</v>
      </c>
    </row>
    <row r="6" spans="1:3" ht="16" x14ac:dyDescent="0.2">
      <c r="A6" s="7">
        <v>5</v>
      </c>
      <c r="B6" s="7" t="s">
        <v>194</v>
      </c>
    </row>
    <row r="7" spans="1:3" ht="16" x14ac:dyDescent="0.2">
      <c r="A7" s="7">
        <v>6</v>
      </c>
      <c r="B7" s="7" t="s">
        <v>201</v>
      </c>
    </row>
    <row r="8" spans="1:3" x14ac:dyDescent="0.2">
      <c r="A8" s="7"/>
      <c r="B8" s="7"/>
    </row>
    <row r="9" spans="1:3" ht="16" x14ac:dyDescent="0.2">
      <c r="A9" s="8" t="s">
        <v>195</v>
      </c>
      <c r="B9" s="8" t="s">
        <v>204</v>
      </c>
      <c r="C9" s="8" t="s">
        <v>205</v>
      </c>
    </row>
    <row r="10" spans="1:3" ht="16" x14ac:dyDescent="0.2">
      <c r="A10" s="7" t="s">
        <v>196</v>
      </c>
      <c r="B10" s="7" t="s">
        <v>197</v>
      </c>
      <c r="C10" t="s">
        <v>197</v>
      </c>
    </row>
    <row r="11" spans="1:3" ht="48" x14ac:dyDescent="0.2">
      <c r="A11" s="7" t="s">
        <v>4</v>
      </c>
      <c r="B11" s="7" t="s">
        <v>198</v>
      </c>
      <c r="C11" t="s">
        <v>197</v>
      </c>
    </row>
    <row r="12" spans="1:3" ht="64" x14ac:dyDescent="0.2">
      <c r="A12" s="7" t="s">
        <v>5</v>
      </c>
      <c r="B12" s="7" t="s">
        <v>198</v>
      </c>
      <c r="C12" t="s">
        <v>197</v>
      </c>
    </row>
    <row r="13" spans="1:3" ht="32" x14ac:dyDescent="0.2">
      <c r="A13" s="7" t="s">
        <v>199</v>
      </c>
      <c r="B13" s="7" t="s">
        <v>197</v>
      </c>
      <c r="C13" t="s">
        <v>197</v>
      </c>
    </row>
    <row r="14" spans="1:3" ht="64" x14ac:dyDescent="0.2">
      <c r="A14" s="7" t="s">
        <v>8</v>
      </c>
      <c r="B14" s="7" t="s">
        <v>198</v>
      </c>
      <c r="C14" t="s">
        <v>197</v>
      </c>
    </row>
    <row r="15" spans="1:3" ht="16" x14ac:dyDescent="0.2">
      <c r="A15" s="7" t="s">
        <v>9</v>
      </c>
      <c r="B15" s="7" t="s">
        <v>198</v>
      </c>
      <c r="C15" t="s">
        <v>197</v>
      </c>
    </row>
    <row r="17" spans="1:1" x14ac:dyDescent="0.2">
      <c r="A17" s="9" t="s">
        <v>200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Datos_panel_limpios</vt:lpstr>
      <vt:lpstr>Pais_agregado_media</vt:lpstr>
      <vt:lpstr>Transformaciones</vt:lpstr>
      <vt:lpstr>Modelo_final_tipificado</vt:lpstr>
      <vt:lpstr>Analisis_descriptivo</vt:lpstr>
      <vt:lpstr>Info_Datos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Garay Pérez</cp:lastModifiedBy>
  <dcterms:created xsi:type="dcterms:W3CDTF">2026-04-02T17:05:22Z</dcterms:created>
  <dcterms:modified xsi:type="dcterms:W3CDTF">2026-05-03T20:57:07Z</dcterms:modified>
</cp:coreProperties>
</file>